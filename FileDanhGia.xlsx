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DanhMuc" sheetId="1" r:id="rId4"/>
    <sheet state="visible" name="00_HuongDan" sheetId="2" r:id="rId5"/>
    <sheet state="visible" name="01_ThongTinNhom" sheetId="3" r:id="rId6"/>
    <sheet state="visible" name="02_ChecklistYeuCau" sheetId="4" r:id="rId7"/>
    <sheet state="visible" name="03_PhanCongTask" sheetId="5" r:id="rId8"/>
    <sheet state="visible" name="05_DanhGiaCheo" sheetId="6" r:id="rId9"/>
    <sheet state="visible" name="04_TuDanhGia" sheetId="7" r:id="rId10"/>
    <sheet state="visible" name="06_MinhChung_NopBai" sheetId="8" r:id="rId11"/>
    <sheet state="visible" name="07_ChuanBiVanDap" sheetId="9" r:id="rId12"/>
    <sheet state="visible" name="08_TongHopGV" sheetId="10" r:id="rId13"/>
  </sheets>
  <definedNames/>
  <calcPr/>
  <extLst>
    <ext uri="GoogleSheetsCustomDataVersion2">
      <go:sheetsCustomData xmlns:go="http://customooxmlschemas.google.com/" r:id="rId14" roundtripDataChecksum="00FIFv4RIRqCP9wAqkgA1bbQG4/8quptNFjcJQOL5Ak="/>
    </ext>
  </extLst>
</workbook>
</file>

<file path=xl/sharedStrings.xml><?xml version="1.0" encoding="utf-8"?>
<sst xmlns="http://schemas.openxmlformats.org/spreadsheetml/2006/main" count="1527" uniqueCount="889">
  <si>
    <t>DANH MỤC DÙNG CHO DROPDOWN — KHÔNG CẦN CHỈNH SỬA</t>
  </si>
  <si>
    <t>Trạng thái</t>
  </si>
  <si>
    <t>Vai trò công việc</t>
  </si>
  <si>
    <t>Độ khó</t>
  </si>
  <si>
    <t>Điểm 1–5</t>
  </si>
  <si>
    <t>Có/Không</t>
  </si>
  <si>
    <t>Loại minh chứng</t>
  </si>
  <si>
    <t>Nhóm nội dung</t>
  </si>
  <si>
    <t>Mức độ yêu cầu</t>
  </si>
  <si>
    <t>Kết quả kiểm tra</t>
  </si>
  <si>
    <t>Loại thành viên</t>
  </si>
  <si>
    <t>Chưa làm</t>
  </si>
  <si>
    <t>Chính</t>
  </si>
  <si>
    <t>Có</t>
  </si>
  <si>
    <t>Commit</t>
  </si>
  <si>
    <t>Blueprint</t>
  </si>
  <si>
    <t>Bắt buộc</t>
  </si>
  <si>
    <t>Đạt</t>
  </si>
  <si>
    <t>Khán giả</t>
  </si>
  <si>
    <t>Đang làm</t>
  </si>
  <si>
    <t>Phối hợp</t>
  </si>
  <si>
    <t>Không</t>
  </si>
  <si>
    <t>Pull request</t>
  </si>
  <si>
    <t>Cài đặt</t>
  </si>
  <si>
    <t>Chọn ít nhất 2 luồng</t>
  </si>
  <si>
    <t>Chưa đạt</t>
  </si>
  <si>
    <t>Ban tổ chức</t>
  </si>
  <si>
    <t>Hoàn thành</t>
  </si>
  <si>
    <t>Hỗ trợ</t>
  </si>
  <si>
    <t>Source code</t>
  </si>
  <si>
    <t>Kiểm thử</t>
  </si>
  <si>
    <t>Khuyến nghị</t>
  </si>
  <si>
    <t>Chưa kiểm tra</t>
  </si>
  <si>
    <t>Nhân sự soát vé</t>
  </si>
  <si>
    <t>Không áp dụng</t>
  </si>
  <si>
    <t>Sơ đồ</t>
  </si>
  <si>
    <t>Nộp bài</t>
  </si>
  <si>
    <t>Tài liệu</t>
  </si>
  <si>
    <t>Vấn đáp</t>
  </si>
  <si>
    <t>Test report</t>
  </si>
  <si>
    <t>Ảnh chụp</t>
  </si>
  <si>
    <t>Video demo</t>
  </si>
  <si>
    <t>Google Drive</t>
  </si>
  <si>
    <t>Khác</t>
  </si>
  <si>
    <t>HƯỚNG DẪN ĐIỀN FILE TỰ ĐÁNH GIÁ ĐỒ ÁN TICKETBOX</t>
  </si>
  <si>
    <t>Mục đích: Nhóm sinh viên tự khai báo đầy đủ phần việc, minh chứng và mức độ đóng góp. Giảng viên dùng file này để kiểm tra và vấn đáp; nội dung khai báo phải khớp với source code, Blueprint và video.</t>
  </si>
  <si>
    <t>Bước</t>
  </si>
  <si>
    <t>Sheet cần điền</t>
  </si>
  <si>
    <t>Sinh viên thực hiện</t>
  </si>
  <si>
    <t>Yêu cầu tối thiểu</t>
  </si>
  <si>
    <t>01_ThongTinNhom</t>
  </si>
  <si>
    <t>Điền thông tin nhóm, 1–4 thành viên và các link nộp bài.</t>
  </si>
  <si>
    <t>Link Google Drive phải public và mở được.</t>
  </si>
  <si>
    <t>02_ChecklistYeuCau</t>
  </si>
  <si>
    <t>Đối chiếu từng yêu cầu TicketBox; chọn owner, trạng thái, % hoàn thành và dán minh chứng.</t>
  </si>
  <si>
    <t>Không ghi “đã làm” nếu không có link/path minh chứng.</t>
  </si>
  <si>
    <t>03_PhanCongTask</t>
  </si>
  <si>
    <t>Tách công việc đủ nhỏ để phân biệt đóng góp cá nhân.</t>
  </si>
  <si>
    <t>Mỗi task phải có sản phẩm đầu ra và tiêu chí hoàn thành.</t>
  </si>
  <si>
    <t>04_TuDanhGia</t>
  </si>
  <si>
    <t>Mỗi thành viên tự chấm 1–5 và mô tả 3 đóng góp quan trọng nhất.</t>
  </si>
  <si>
    <t>Không tự chấm 5 nếu không thể giải thích khi vấn đáp.</t>
  </si>
  <si>
    <t>05_DanhGiaCheo</t>
  </si>
  <si>
    <t>Các thành viên đánh giá chéo, nêu lý do và ví dụ cụ thể.</t>
  </si>
  <si>
    <t>Nhóm 1 người để trống sheet này.</t>
  </si>
  <si>
    <t>06_MinhChung_NopBai</t>
  </si>
  <si>
    <t>Liệt kê commit/PR/tài liệu/sơ đồ/test/video và kiểm tra cấu trúc Google Drive.</t>
  </si>
  <si>
    <t>Mỗi minh chứng phải có người thực hiện và cách kiểm tra.</t>
  </si>
  <si>
    <t>07_ChuanBiVanDap</t>
  </si>
  <si>
    <t>Phân công thành viên chuẩn bị giải thích các quyết định kiến trúc và cơ chế kỹ thuật.</t>
  </si>
  <si>
    <t>Người phụ trách phải hiểu code, không chỉ đọc slide.</t>
  </si>
  <si>
    <t>08_TongHopGV</t>
  </si>
  <si>
    <t>Xem % tiến độ toàn nhóm, % hoàn thành đủ minh chứng và cảnh báo đóng góp cá nhân.</t>
  </si>
  <si>
    <t>Ưu tiên chỉ số “Hoàn thành đủ minh chứng”; các mục Không áp dụng không tính vào mẫu số.</t>
  </si>
  <si>
    <t>QUY ƯỚC MÀU</t>
  </si>
  <si>
    <t>Màu vàng</t>
  </si>
  <si>
    <t>Ô sinh viên cần điền</t>
  </si>
  <si>
    <t>Màu xám</t>
  </si>
  <si>
    <t>Ô công thức/tổng hợp — không sửa</t>
  </si>
  <si>
    <t>Màu xanh lá</t>
  </si>
  <si>
    <t>Thông tin hướng dẫn hoặc mục đã đạt</t>
  </si>
  <si>
    <t>Màu đỏ nhạt</t>
  </si>
  <si>
    <t>Thông tin bắt buộc/cảnh báo</t>
  </si>
  <si>
    <t>NGUỒN ĐẶC TẢ</t>
  </si>
  <si>
    <t>Đặc tả TicketBox</t>
  </si>
  <si>
    <t>https://nndkhoa.github.io/software-design-docs/exercises/project/spec-ticketbox.html</t>
  </si>
  <si>
    <t>Lưu ý</t>
  </si>
  <si>
    <t>File đánh giá này diễn giải yêu cầu để sinh viên tự khai báo; không thay thế đặc tả chính thức.</t>
  </si>
  <si>
    <t>THÔNG TIN NHÓM VÀ LINK NỘP BÀI</t>
  </si>
  <si>
    <t>A. THÔNG TIN CHUNG</t>
  </si>
  <si>
    <t>Mã nhóm *</t>
  </si>
  <si>
    <t>Lớp *</t>
  </si>
  <si>
    <t>CQ2023/31</t>
  </si>
  <si>
    <t>Tên đồ án</t>
  </si>
  <si>
    <t>TicketBox</t>
  </si>
  <si>
    <t>Ngày cập nhật</t>
  </si>
  <si>
    <t>Tên nhóm</t>
  </si>
  <si>
    <t>Số thành viên</t>
  </si>
  <si>
    <t>Link repository *</t>
  </si>
  <si>
    <t>Nhánh/Tag nộp</t>
  </si>
  <si>
    <t>Link Google Drive public *</t>
  </si>
  <si>
    <t>Link Blueprint</t>
  </si>
  <si>
    <t>Link thư mục source/src</t>
  </si>
  <si>
    <t>Link thư mục clips/video</t>
  </si>
  <si>
    <t>Link demo đang chạy (nếu có)</t>
  </si>
  <si>
    <t>Link tài liệu khác</t>
  </si>
  <si>
    <t>Link Google Drive phải bật quyền “Anyone with the link/Người có đường liên kết — Viewer”. Thư mục phải có đủ: (1) blueprint.pdf hoặc blueprint/, (2) src/ + data/ + README.md, (3) clips/ chứa video MP4 có camera thành viên và demo trực tiếp.</t>
  </si>
  <si>
    <t>B. DANH SÁCH THÀNH VIÊN — CHỈ ĐIỀN ĐÚNG SỐ NGƯỜI THỰC TẾ (1–4)</t>
  </si>
  <si>
    <t>STT</t>
  </si>
  <si>
    <t>Họ và tên *</t>
  </si>
  <si>
    <t>MSSV *</t>
  </si>
  <si>
    <t>Email</t>
  </si>
  <si>
    <t>Vai trò chính</t>
  </si>
  <si>
    <t>GitHub username</t>
  </si>
  <si>
    <t>Tham gia nhóm?</t>
  </si>
  <si>
    <t>Ghi chú</t>
  </si>
  <si>
    <t>Nguyễn Minh Tú</t>
  </si>
  <si>
    <t>23120101@student.hcmus.edu.vn</t>
  </si>
  <si>
    <t>Mobile/Check-in</t>
  </si>
  <si>
    <t>PeriodicallyZoneOut</t>
  </si>
  <si>
    <t>Võ Hoàng Danh</t>
  </si>
  <si>
    <t>23120117@student.hcmus.edu.vn</t>
  </si>
  <si>
    <t>Testing/Tài liệu</t>
  </si>
  <si>
    <t>HoangDanhVo</t>
  </si>
  <si>
    <t>Nguyễn Hữu Phúc</t>
  </si>
  <si>
    <t>23120157@student.hcmus.edu.vn</t>
  </si>
  <si>
    <t>Backend</t>
  </si>
  <si>
    <t>Nhp125</t>
  </si>
  <si>
    <t>Huỳnh Thái Toàn</t>
  </si>
  <si>
    <t>23120175@student.hcmus.edu.vn</t>
  </si>
  <si>
    <t>Kiến trúc/Blueprint</t>
  </si>
  <si>
    <t>Toanapr</t>
  </si>
  <si>
    <t>C. XÁC NHẬN CỦA NHÓM</t>
  </si>
  <si>
    <t>Cam kết</t>
  </si>
  <si>
    <t>Nhóm xác nhận các thông tin, link và tỷ lệ đóng góp trong file là đúng; mỗi thành viên có thể giải thích phần việc đã khai báo.</t>
  </si>
  <si>
    <t>Người đại diện</t>
  </si>
  <si>
    <t>Ngày xác nhận</t>
  </si>
  <si>
    <t>Trạng thái link Drive</t>
  </si>
  <si>
    <t>Mở được</t>
  </si>
  <si>
    <t>Đã kiểm tra trên thiết bị khác?</t>
  </si>
  <si>
    <t>CHECKLIST ĐỐI CHIẾU YÊU CẦU ĐỒ ÁN TICKETBOX</t>
  </si>
  <si>
    <t>Điền theo sản phẩm thực tế. “Tiến độ tự khai” là trung bình cột % HT. “Hoàn thành đủ minh chứng” chỉ tính mục có trạng thái Hoàn thành, tự kiểm tra Đạt và có link/path minh chứng. Mục “Không áp dụng” được loại khỏi mẫu số.</t>
  </si>
  <si>
    <t>TIẾN ĐỘ TỰ KHAI</t>
  </si>
  <si>
    <t>HOÀN THÀNH 100%</t>
  </si>
  <si>
    <t>TỰ KIỂM TRA ĐẠT</t>
  </si>
  <si>
    <t>CÓ MINH CHỨNG</t>
  </si>
  <si>
    <t>HOÀN THÀNH ĐỦ MINH CHỨNG</t>
  </si>
  <si>
    <t>Xem chi tiết tại 08_TongHopGV</t>
  </si>
  <si>
    <t>ID</t>
  </si>
  <si>
    <t>Nhóm</t>
  </si>
  <si>
    <t>Mức độ</t>
  </si>
  <si>
    <t>Yêu cầu cần chứng minh</t>
  </si>
  <si>
    <t>Minh chứng mong đợi</t>
  </si>
  <si>
    <t>Owner</t>
  </si>
  <si>
    <t>% HT</t>
  </si>
  <si>
    <t>Link/Path minh chứng</t>
  </si>
  <si>
    <t>Kết quả tự kiểm tra</t>
  </si>
  <si>
    <t>Ghi chú/lỗi còn lại</t>
  </si>
  <si>
    <t>BP01</t>
  </si>
  <si>
    <t>Tài liệu mô tả kiến trúc tổng thể, thành phần, giao tiếp, ảnh hưởng khi một phần lỗi.</t>
  </si>
  <si>
    <t>design.md/blueprint.pdf; lập luận lựa chọn kiến trúc</t>
  </si>
  <si>
    <t>blueprint/01-system-design.md
 blueprint/03-high-level-architecture.md</t>
  </si>
  <si>
    <t>Đã đối chiếu với code; còn xuất PDF và upload Drive ở SB02.</t>
  </si>
  <si>
    <t>BP02</t>
  </si>
  <si>
    <t>C4 Level 1 – System Context: actors và hệ thống ngoài.</t>
  </si>
  <si>
    <t>Sơ đồ + mô tả Khán giả, Ban tổ chức, Soát vé, VNPAY/MoMo, AI, CSV</t>
  </si>
  <si>
    <t>blueprint/02-c4-diagrams.md — System Context</t>
  </si>
  <si>
    <t>Cần kiểm tra Mermaid render rõ trong PDF cuối.</t>
  </si>
  <si>
    <t>BP03</t>
  </si>
  <si>
    <t>C4 Level 2 – Container: web, mobile, backend, database, broker/cache...</t>
  </si>
  <si>
    <t>Sơ đồ có công nghệ và giao tiếp giữa container</t>
  </si>
  <si>
    <t>blueprint/02-c4-diagrams.md — Container</t>
  </si>
  <si>
    <t>Demo không dùng broker ngoài; tài liệu đã ghi durable DB records/outbox thay thế.</t>
  </si>
  <si>
    <t>BP04</t>
  </si>
  <si>
    <t>High-Level Architecture Diagram, nhấn mạnh payment, AI, CSV và offline check-in.</t>
  </si>
  <si>
    <t>Sơ đồ luồng dữ liệu/phụ thuộc và failure boundary</t>
  </si>
  <si>
    <t>blueprint/03-high-level-architecture.md</t>
  </si>
  <si>
    <t>Nên xuất sơ đồ độ phân giải cao khi đóng gói bài nộp.</t>
  </si>
  <si>
    <t>BP05</t>
  </si>
  <si>
    <t>Thiết kế dữ liệu: SQL/NoSQL/kết hợp và schema entity quan trọng.</t>
  </si>
  <si>
    <t>ERD/schema + giải thích lựa chọn và consistency</t>
  </si>
  <si>
    <t>blueprint/04-database-design.md
 src/backend-api/prisma/schema.prisma</t>
  </si>
  <si>
    <t>Không còn lỗi bắt buộc; mở thêm migration/schema khi vấn đáp.</t>
  </si>
  <si>
    <t>BP06</t>
  </si>
  <si>
    <t>Luồng mua vé từ bấm mua đến nhận e-ticket; có xử lý lỗi giữa chừng.</t>
  </si>
  <si>
    <t>Sequence/activity diagram hoặc mô tả bước + lỗi</t>
  </si>
  <si>
    <t>blueprint/05-business-flows.md
 src/backend-api/test/checkout-flow.e2e-spec.ts</t>
  </si>
  <si>
    <t>Thiếu clip checkout tập trung; được theo dõi tại IM02.</t>
  </si>
  <si>
    <t>BP07</t>
  </si>
  <si>
    <t>Luồng soát vé mất mạng và đồng bộ lại; tránh vé vào hai lần.</t>
  </si>
  <si>
    <t>Sequence/state diagram + conflict handling</t>
  </si>
  <si>
    <t>blueprint/core-design-decisions/offline-check-in.md
 src/backend-api/test/scanner-check-in-sync.e2e-spec.ts</t>
  </si>
  <si>
    <t>Conflict policy đã có; public-key manifest verification vẫn là hardening production.</t>
  </si>
  <si>
    <t>BP08</t>
  </si>
  <si>
    <t>Luồng nhập Guest List CSV; xử lý file lỗi và dữ liệu trùng.</t>
  </si>
  <si>
    <t>Flow + validation + idempotent import</t>
  </si>
  <si>
    <t>blueprint/core-design-decisions/guest-list-csv-import.md
 src/backend-api/src/modules/guest-list/guest-list-import.service.ts</t>
  </si>
  <si>
    <t>Cần kèm bộ CSV valid/invalid trong gói minh chứng Drive.</t>
  </si>
  <si>
    <t>BP09</t>
  </si>
  <si>
    <t>Thiết kế kiểm soát truy cập cho Khán giả, Ban tổ chức, Nhân sự soát vé.</t>
  </si>
  <si>
    <t>Role-permission matrix + enforcement tại endpoint/UI/app</t>
  </si>
  <si>
    <t>blueprint/06-access-control.md
 src/backend-api/src/modules/auth/roles.guard.ts</t>
  </si>
  <si>
    <t>Nên xuất một report test RBAC tổng hợp để giảng viên kiểm tra nhanh.</t>
  </si>
  <si>
    <t>BP10</t>
  </si>
  <si>
    <t>Giải pháp tải đột biến/rate limiting cho 80.000 người trong 5 phút, 70% ở phút đầu.</t>
  </si>
  <si>
    <t>Thuật toán, ngưỡng, key giới hạn, hành vi khi vượt ngưỡng</t>
  </si>
  <si>
    <t>blueprint/core-design-decisions/sale-traffic-spike.md
 src/backend-api/src/common/cache/rate-limit.guard.ts</t>
  </si>
  <si>
    <t>Thiết kế đạt; báo cáo K6/load test còn thiếu được theo dõi tại IM12.</t>
  </si>
  <si>
    <t>BP11</t>
  </si>
  <si>
    <t>Circuit Breaker + Graceful Degradation khi VNPAY/MoMo lỗi.</t>
  </si>
  <si>
    <t>Closed/Open/Half-Open, threshold, fallback</t>
  </si>
  <si>
    <t>blueprint/core-design-decisions/unstable-payment-gateway.md
 payment-circuit-breaker.service.ts</t>
  </si>
  <si>
    <t>MoMo chưa có adapter; provider port cùng mock/VNPAY chứng minh khả năng mở rộng.</t>
  </si>
  <si>
    <t>BP12</t>
  </si>
  <si>
    <t>Idempotency Key chống trừ tiền hai lần.</t>
  </si>
  <si>
    <t>Cách sinh/lưu/check key, TTL, response khi lặp</t>
  </si>
  <si>
    <t>blueprint/core-design-decisions/unstable-payment-gateway.md
 src/backend-api/src/common/idempotency/idempotency.service.ts</t>
  </si>
  <si>
    <t>Idempotency record giữ 90 ngày; cần nêu rõ thay vì nói TTL 24 giờ.</t>
  </si>
  <si>
    <t>BP13</t>
  </si>
  <si>
    <t>Caching cho danh sách/chi tiết concert và số vé còn lại.</t>
  </si>
  <si>
    <t>Cache-aside, TTL từng loại, invalidation</t>
  </si>
  <si>
    <t>blueprint/core-design-decisions/high-read-traffic.md
 src/backend-api/src/common/cache/cache.service.ts</t>
  </si>
  <si>
    <t>TTL/invalidation đã khớp code; unit test cache đã chạy đạt.</t>
  </si>
  <si>
    <t>BP14</t>
  </si>
  <si>
    <t>ADR cho các quyết định lớn và đánh đổi.</t>
  </si>
  <si>
    <t>ADR SQL/NoSQL, JWT/session, broker, locking...</t>
  </si>
  <si>
    <t>blueprint/core-design-decisions/</t>
  </si>
  <si>
    <t>Dùng core design decisions tương đương ADR; chưa đánh số ADR riêng.</t>
  </si>
  <si>
    <t>BP15</t>
  </si>
  <si>
    <t>Tổ chức proposal.md, design.md và specs/[feature].md hoặc blueprint.pdf tương đương.</t>
  </si>
  <si>
    <t>Cấu trúc file đầy đủ, acceptance criteria và error scenarios</t>
  </si>
  <si>
    <t>blueprint/specs/
 blueprint/README.md</t>
  </si>
  <si>
    <t>Dùng cấu trúc blueprint/specs thay proposal.md/design.md; cần đóng gói PDF cuối.</t>
  </si>
  <si>
    <t>IM01</t>
  </si>
  <si>
    <t>Xem danh sách/chi tiết concert, nghệ sĩ, địa điểm, sơ đồ SVG theo khu và vé còn lại.</t>
  </si>
  <si>
    <t>Demo UI + API + dữ liệu thật/seed</t>
  </si>
  <si>
    <t>PR #22; src/audience-web/</t>
  </si>
  <si>
    <t>Nên bổ sung clip UI từ catalog/detail tới bước chọn vé.</t>
  </si>
  <si>
    <t>IM02</t>
  </si>
  <si>
    <t>Chọn loại/số lượng vé, thanh toán và sinh e-ticket QR.</t>
  </si>
  <si>
    <t>Demo end-to-end + order/payment/ticket records</t>
  </si>
  <si>
    <t>PR #10; src/backend-api/test/checkout-flow.e2e-spec.ts
 [BỔ SUNG] log test hoặc video checkout → QR</t>
  </si>
  <si>
    <t>Đã có code/test E2E nhưng chưa có report chạy hoặc clip end-to-end đính kèm.</t>
  </si>
  <si>
    <t>IM03</t>
  </si>
  <si>
    <t>Enforce giới hạn vé/tài khoản trên toàn bộ đơn thành công, kể cả request đồng thời.</t>
  </si>
  <si>
    <t>Test concurrent + constraint/transaction/lock</t>
  </si>
  <si>
    <t>src/backend-api/src/modules/inventory/inventory.repository.ts
 src/backend-api/test/checkout-flow.e2e-spec.ts
 [BỔ SUNG] quota test run log</t>
  </si>
  <si>
    <t>Đã có concurrent test code; cần lưu output chứng minh không vượt per-user limit.</t>
  </si>
  <si>
    <t>IM04</t>
  </si>
  <si>
    <t>Thông báo app/email sau mua và nhắc trước 24 giờ; dễ thêm kênh mới.</t>
  </si>
  <si>
    <t>Code notification abstraction + scheduler/job + demo</t>
  </si>
  <si>
    <t>src/backend-api/src/modules/notification/
 Commit 67439cb</t>
  </si>
  <si>
    <t>Tự kiểm tra 13/07/2026: notification service/worker/reminder specs đều passed; nên thêm ảnh email.</t>
  </si>
  <si>
    <t>IM05</t>
  </si>
  <si>
    <t>Admin tạo/sửa/hủy concert, cấu hình loại vé và xem doanh thu/lượng bán.</t>
  </si>
  <si>
    <t>Demo role admin + API/UI + dữ liệu thống kê</t>
  </si>
  <si>
    <t>PR #17/#30/#33; src/admin-web/</t>
  </si>
  <si>
    <t>CRUD, dashboard và refund đã có; nên quay clip thao tác Admin đầy đủ.</t>
  </si>
  <si>
    <t>IM06</t>
  </si>
  <si>
    <t>RBAC được cài thật ở API, trang admin và app soát vé.</t>
  </si>
  <si>
    <t>Middleware/policy + test quyền sai/đúng</t>
  </si>
  <si>
    <t>src/backend-api/src/modules/auth/
 src/backend-api/test/scanner-assignment.e2e-spec.ts</t>
  </si>
  <si>
    <t>Code/test quyền đã có; nên xuất report 401/403/ownership tập trung.</t>
  </si>
  <si>
    <t>IM07</t>
  </si>
  <si>
    <t>Mobile app quét QR và xác nhận vé tại cổng.</t>
  </si>
  <si>
    <t>Demo scan + validation + check-in record</t>
  </si>
  <si>
    <t>src/scanner-mobile/
 src/scanner-pwa/src/app/scanner/</t>
  </si>
  <si>
    <t>Thiếu video quét bằng camera trên thiết bị thật; có thể bổ sung vào Drive.</t>
  </si>
  <si>
    <t>IM08</t>
  </si>
  <si>
    <t>Soát vé offline, lưu tạm, đồng bộ khi có mạng, không mất dữ liệu/không vào hai lần.</t>
  </si>
  <si>
    <t>Demo bật/tắt mạng + sync/conflict test</t>
  </si>
  <si>
    <t>src/backend-api/test/scanner-check-in-sync.e2e-spec.ts
 src/scanner-pwa/scripts/
 [BỔ SUNG] video offline/conflict</t>
  </si>
  <si>
    <t>Đã có E2E và verify scripts; thiếu log chạy cùng video tắt/bật mạng hai thiết bị.</t>
  </si>
  <si>
    <t>IM09</t>
  </si>
  <si>
    <t>AI Artist Bio: upload PDF, tách/làm sạch text, gọi AI và tạo bio ngắn.</t>
  </si>
  <si>
    <t>PDF mẫu + pipeline + output + xử lý lỗi</t>
  </si>
  <si>
    <t>src/backend-api/src/modules/artist-bio/
 docs/test-data/artist-press-kit-multi-artist-test.pdf</t>
  </si>
  <si>
    <t>Tự kiểm tra 13/07/2026: Artist Bio processor specs passed; nên thêm ảnh review/publish.</t>
  </si>
  <si>
    <t>IM10</t>
  </si>
  <si>
    <t>Định kỳ nhập Guest List CSV; xử lý file lỗi, trùng và không làm gián đoạn hệ thống.</t>
  </si>
  <si>
    <t>Job/scheduler + validation + duplicate report</t>
  </si>
  <si>
    <t>src/backend-api/src/modules/guest-list/guest-list-import.service.spec.ts
 docs/test-data/guest-list-scenarios/</t>
  </si>
  <si>
    <t>Tự kiểm tra 13/07/2026: Guest List import/CSV specs passed.</t>
  </si>
  <si>
    <t>IM11</t>
  </si>
  <si>
    <t>Không oversell vé cuối cùng khi nhiều người mua đồng thời.</t>
  </si>
  <si>
    <t>Concurrency test + transaction/locking/atomic update</t>
  </si>
  <si>
    <t>src/backend-api/test/checkout-flow.e2e-spec.ts — last-ticket contention
 [BỔ SUNG] oversell test run log</t>
  </si>
  <si>
    <t>Đã có concurrency test code; chưa có report/log chạy đính kèm.</t>
  </si>
  <si>
    <t>IM12</t>
  </si>
  <si>
    <t>Cơ chế bảo vệ tải đột biến/rate limiting/bot-fairness cài trong code.</t>
  </si>
  <si>
    <t>Middleware/config + test vượt ngưỡng/load test</t>
  </si>
  <si>
    <t>src/backend-api/src/common/cache/rate-limit.guard.spec.ts
 src/backend-api/test/checkout-flow.e2e-spec.ts
 [BỔ SUNG] K6/load-test report</t>
  </si>
  <si>
    <t>Rate-limit unit specs đã passed; vẫn thiếu K6/RPS/429 report cho tải đột biến.</t>
  </si>
  <si>
    <t>IM13</t>
  </si>
  <si>
    <t>Circuit breaker và graceful degradation cài thật.</t>
  </si>
  <si>
    <t>Test payment lỗi liên tiếp; trang concert vẫn hoạt động</t>
  </si>
  <si>
    <t>src/backend-api/src/modules/payment/resilience/payment-circuit-breaker.service.spec.ts</t>
  </si>
  <si>
    <t>Tự kiểm tra 13/07/2026: Closed → Open → Half-Open → Closed spec passed.</t>
  </si>
  <si>
    <t>IM14</t>
  </si>
  <si>
    <t>Idempotency cài thật, cùng request không tạo/trừ tiền hai lần.</t>
  </si>
  <si>
    <t>Test retry/same key/concurrent retry</t>
  </si>
  <si>
    <t>src/backend-api/src/common/idempotency/idempotency.service.ts
 src/backend-api/test/checkout-flow.e2e-spec.ts
 [BỔ SUNG] retry/reconciliation test report</t>
  </si>
  <si>
    <t>Code và E2E cases đã có; thiếu log chạy hoặc ảnh DB trước/sau retry.</t>
  </si>
  <si>
    <t>IM15</t>
  </si>
  <si>
    <t>Caching cài thật, có TTL/invalidation phù hợp.</t>
  </si>
  <si>
    <t>Redis/cache code + hit/miss logs + consistency test</t>
  </si>
  <si>
    <t>src/backend-api/src/common/cache/cache.service.spec.ts
 cache-invalidation.service.ts</t>
  </si>
  <si>
    <t>Tự kiểm tra 13/07/2026: cache hit/miss, coalescing, miss budget và TTL specs passed.</t>
  </si>
  <si>
    <t>IM16</t>
  </si>
  <si>
    <t>README đủ để clone và chạy không cần hỏi thêm.</t>
  </si>
  <si>
    <t>Prerequisites, env, commands, ports, accounts, troubleshooting</t>
  </si>
  <si>
    <t>src/backend-api/README.md; src/scanner-pwa/README.md
 [BỔ SUNG] README.md cấp repository</t>
  </si>
  <si>
    <t>Thiếu README gốc gồm prerequisites, env, ports, accounts, lệnh toàn hệ thống và troubleshooting.</t>
  </si>
  <si>
    <t>IM17</t>
  </si>
  <si>
    <t>Seed data/script có 4 concert mẫu, loại vé, giá và sơ đồ chỗ ngồi.</t>
  </si>
  <si>
    <t>data/ + migration/seed script + ảnh chạy thành công</t>
  </si>
  <si>
    <t>src/backend-api/prisma/seed.js
 src/backend-api/prisma/seed-scanner.ts</t>
  </si>
  <si>
    <t>Seed có 4+ concert và ticket types; nên lưu ảnh/log chạy seed thành công.</t>
  </si>
  <si>
    <t>IM18</t>
  </si>
  <si>
    <t>Toàn bộ hệ thống có thể khởi chạy và demo theo Blueprint.</t>
  </si>
  <si>
    <t>Script/docker compose + smoke test end-to-end</t>
  </si>
  <si>
    <t>src/backend-api/docker-compose.yml; src/*/package.json
 [BỔ SUNG] root compose/start script và smoke report</t>
  </si>
  <si>
    <t>Chưa có một lệnh khởi chạy toàn hệ thống và report smoke audience → admin → scanner.</t>
  </si>
  <si>
    <t>SB01</t>
  </si>
  <si>
    <t>Google Drive public và người chấm mở được bằng tài khoản khác/ẩn danh.</t>
  </si>
  <si>
    <t>Link Drive + ảnh kiểm tra quyền</t>
  </si>
  <si>
    <t>[BỔ SUNG] TODO_DRIVE_ROOT_PUBLIC_URL</t>
  </si>
  <si>
    <t>Chưa có link Drive public và ảnh kiểm tra bằng cửa sổ ẩn danh.</t>
  </si>
  <si>
    <t>SB02</t>
  </si>
  <si>
    <t>Drive có blueprint.pdf hoặc thư mục blueprint/ đầy đủ.</t>
  </si>
  <si>
    <t>Link trực tiếp tới Blueprint</t>
  </si>
  <si>
    <t>blueprint/ (đã có local)
 [BỔ SUNG] TODO_DRIVE_BLUEPRINT_URL</t>
  </si>
  <si>
    <t>Blueprint local đầy đủ; chưa upload Drive và chưa kiểm tra quyền Viewer.</t>
  </si>
  <si>
    <t>SB03</t>
  </si>
  <si>
    <t>Drive có src/, data/ và README.md.</t>
  </si>
  <si>
    <t>Link trực tiếp tới source + kiểm tra cấu trúc</t>
  </si>
  <si>
    <t>src/ (đã có local)
 [BỔ SUNG] data/, README.md gốc, TODO_DRIVE_SOURCE_URL</t>
  </si>
  <si>
    <t>Thiếu data/, README.md cấp gốc và link Drive trực tiếp; chưa đạt cấu trúc nộp bài.</t>
  </si>
  <si>
    <t>SB04</t>
  </si>
  <si>
    <t>Drive có clips/ video MP4 1080p, khoảng 720 kbps, camera + demo code/app.</t>
  </si>
  <si>
    <t>Link video + kiểm tra phát được</t>
  </si>
  <si>
    <t>[BỔ SUNG] TODO_DRIVE_FINAL_DEMO_VIDEO_URL</t>
  </si>
  <si>
    <t>Chưa có clips/video MP4 cuối; cần camera thành viên, kiến trúc và demo các luồng chính.</t>
  </si>
  <si>
    <t>SB05</t>
  </si>
  <si>
    <t>File text tên mã-nhóm_mssv1_...txt; nội dung là link Drive public.</t>
  </si>
  <si>
    <t>Tên file và nội dung file text</t>
  </si>
  <si>
    <t>[BỔ SUNG] mã-nhóm_mssv1_mssv2_mssv3_mssv4.txt</t>
  </si>
  <si>
    <t>Tạo file text sau khi chốt link Drive public; nội dung chỉ chứa link Drive.</t>
  </si>
  <si>
    <t>PHÂN CÔNG VÀ TỰ KHAI BÁO CÔNG VIỆC CÁ NHÂN</t>
  </si>
  <si>
    <t>Mỗi dòng là một task đủ cụ thể. Không ghi chung chung như “làm backend”. Ví dụ tốt: “Cài Idempotency-Key middleware, lưu key trong Redis TTL 24h và viết 5 test retry payment”.</t>
  </si>
  <si>
    <t>Task ID</t>
  </si>
  <si>
    <t>Requirement ID</t>
  </si>
  <si>
    <t>Mô tả task cụ thể</t>
  </si>
  <si>
    <t>Sản phẩm/tiêu chí hoàn thành</t>
  </si>
  <si>
    <t>Người chính</t>
  </si>
  <si>
    <t>Người phối hợp</t>
  </si>
  <si>
    <t>Độ khó 1–5</t>
  </si>
  <si>
    <t>Vai trò</t>
  </si>
  <si>
    <t>Chất lượng 1–5</t>
  </si>
  <si>
    <t>Link/ID minh chứng</t>
  </si>
  <si>
    <t>Giải thích đóng góp cá nhân</t>
  </si>
  <si>
    <t>Điểm công việc</t>
  </si>
  <si>
    <t>T01</t>
  </si>
  <si>
    <t>Rà soát yêu cầu và cấu trúc bộ Blueprint; bổ sung acceptance criteria, error scenario và liên kết giữa các tài liệu.</t>
  </si>
  <si>
    <t>Blueprint/specs có cấu trúc rõ, các yêu cầu bắt buộc được truy vết và review chéo.</t>
  </si>
  <si>
    <t>Issue #1; PR #2/#3</t>
  </si>
  <si>
    <t>Tú rà soát yêu cầu, chỉnh tài liệu reliability và chuẩn hóa phần đặc tả để nhóm bám theo khi cài đặt.</t>
  </si>
  <si>
    <t>T02</t>
  </si>
  <si>
    <t>Xây luồng reservation → order → payment → ticket và phát hành e-ticket QR sau khi thanh toán thành công.</t>
  </si>
  <si>
    <t>Luồng end-to-end tạo đúng record, webhook idempotent và chỉ phát hành vé một lần.</t>
  </si>
  <si>
    <t>Issue #6; PR #10</t>
  </si>
  <si>
    <t>Tú triển khai nghiệp vụ lõi order/payment/ticket, trạng thái lỗi giữa chừng và QR ticket trong backend.</t>
  </si>
  <si>
    <t>T03</t>
  </si>
  <si>
    <t>Cài quota ledger và khóa theo user/ticket type để giới hạn vé vẫn đúng khi nhiều request đồng thời.</t>
  </si>
  <si>
    <t>paidCount + reservedCount không vượt perUserLimit; request vượt hạn mức trả quota_exceeded.</t>
  </si>
  <si>
    <t>PR #10; checkout-flow.e2e-spec.ts</t>
  </si>
  <si>
    <t>Tú cài transaction quota và các test concurrent để chứng minh cùng tài khoản không vượt giới hạn.</t>
  </si>
  <si>
    <t>T04</t>
  </si>
  <si>
    <t>Cài khóa inventory và viết test hai người đồng thời mua vé cuối cùng.</t>
  </si>
  <si>
    <t>Một request thành công, request còn lại nhận sold_out; reserved + sold không vượt capacity.</t>
  </si>
  <si>
    <t>PR #10; test last-ticket contention</t>
  </si>
  <si>
    <t>Tú xây invariant chống oversell bằng FOR UPDATE và kiểm thử tranh chấp vé cuối cùng.</t>
  </si>
  <si>
    <t>T05</t>
  </si>
  <si>
    <t>Xây check-in backend, manifest theo assignment/device và API đồng bộ kết quả quét QR.</t>
  </si>
  <si>
    <t>Scanner chỉ tải đúng manifest được cấp; backend trả accepted/conflict/rejected có log truy vết.</t>
  </si>
  <si>
    <t>Issue #20; PR #23/#31</t>
  </si>
  <si>
    <t>Tú phụ trách Check-in Module, manifest, device binding và hợp đồng API phục vụ scanner.</t>
  </si>
  <si>
    <t>T06</t>
  </si>
  <si>
    <t>Triển khai Scanner PWA offline queue, lưu bền vững và tự đồng bộ lại khi có mạng.</t>
  </si>
  <si>
    <t>Reload không mất queue; hai thiết bị quét cùng vé cho một accepted và một conflict khi sync.</t>
  </si>
  <si>
    <t>Issue #21; PR #23/#31</t>
  </si>
  <si>
    <t>Tú xây PWA offline-first, clientEventId idempotent, xử lý ACK và hiển thị conflict cho nhân sự cổng.</t>
  </si>
  <si>
    <t>T07</t>
  </si>
  <si>
    <t>Bổ sung giao diện quản lý scanner device/assignment và seed dữ liệu phục vụ phân quyền tại cổng.</t>
  </si>
  <si>
    <t>Admin tạo/gán thiết bị được; scanner chỉ truy cập assignment hợp lệ và có dữ liệu demo.</t>
  </si>
  <si>
    <t>Commit e5706b5/2506845</t>
  </si>
  <si>
    <t>Tú hoàn thiện device management, scanner seed và sửa UI để luồng phân quyền có thể demo.</t>
  </si>
  <si>
    <t>T08</t>
  </si>
  <si>
    <t>Viết và chạy các kịch bản verify reload, scan workflow, sync recovery và retry cho Scanner PWA.</t>
  </si>
  <si>
    <t>Các script verify:* chạy được, queue không mất và retry không tạo check-in trùng.</t>
  </si>
  <si>
    <t>PR #31; scanner-pwa/scripts/verify-*</t>
  </si>
  <si>
    <t>Tú bổ sung kiểm chứng tự động cho các failure path quan trọng của scanner offline.</t>
  </si>
  <si>
    <t>T09</t>
  </si>
  <si>
    <t>Thiết kế ERD, transaction boundary và quyết định dùng PostgreSQL cho inventory/order/payment/ticket.</t>
  </si>
  <si>
    <t>Có ERD, khóa/constraint chính và giải thích consistency chống oversell, quota sai.</t>
  </si>
  <si>
    <t>Issue #1; PR #4</t>
  </si>
  <si>
    <t>Danh chịu trách nhiệm phần Database &amp; Transaction, rà soát entity và các invariant dữ liệu cốt lõi.</t>
  </si>
  <si>
    <t>T10</t>
  </si>
  <si>
    <t>Xây backend core, Prisma schema/migration, Docker PostgreSQL/Redis và seed dữ liệu nền.</t>
  </si>
  <si>
    <t>Backend migrate/seed thành công; schema hỗ trợ concert, inventory, order, payment, ticket và user.</t>
  </si>
  <si>
    <t>Issue #5; commit 3f2cf1f/635e290</t>
  </si>
  <si>
    <t>Danh tạo nền tảng backend/database Phase 1, migration lịch sử và môi trường Docker để các module khác tích hợp.</t>
  </si>
  <si>
    <t>T11</t>
  </si>
  <si>
    <t>Hoàn thiện structured logs, correlation ID, hardening verification và risk checks cho đường reservation/payment.</t>
  </si>
  <si>
    <t>Log có ngữ cảnh nhưng không lộ secret; request rủi ro bị chặn và có test/kiểm chứng tương ứng.</t>
  </si>
  <si>
    <t>Issue #16; PR #25</t>
  </si>
  <si>
    <t>Danh cài lớp hardening, log vận hành và risk checks, đồng thời kiểm tra failure path trước khi merge.</t>
  </si>
  <si>
    <t>T12</t>
  </si>
  <si>
    <t>Cài AuthGuard/RolesGuard và giới hạn quyền organizer, audience, scanner tại endpoint.</t>
  </si>
  <si>
    <t>Role sai nhận 403; tài nguyên admin còn được kiểm tra theo organization ownership.</t>
  </si>
  <si>
    <t>Issue #5; commit 3f2cf1f</t>
  </si>
  <si>
    <t>Danh xây phần backend core/auth làm nền cho RBAC; phối hợp Phúc nối vào Admin API.</t>
  </si>
  <si>
    <t>T13</t>
  </si>
  <si>
    <t>Xây backend AI Artist Bio: lưu PDF, durable job, extract/sanitize text, gọi provider và retry.</t>
  </si>
  <si>
    <t>PDF lỗi/thiếu text được báo; job retry có giới hạn; kết quả lưu draft kèm model/prompt version.</t>
  </si>
  <si>
    <t>Issue #26; commit f274454</t>
  </si>
  <si>
    <t>Danh phụ trách pipeline AI backend và cơ chế job bền vững; còn cần đóng issue và gom thêm minh chứng demo.</t>
  </si>
  <si>
    <t>T14</t>
  </si>
  <si>
    <t>Thiết kế luồng review/publish AI draft và adapter để AI không tự ghi đè nội dung công khai.</t>
  </si>
  <si>
    <t>Organizer xem, sửa, publish/retry draft; lỗi provider dùng fallback và không ảnh hưởng checkout.</t>
  </si>
  <si>
    <t>Issue #27; commit f274454</t>
  </si>
  <si>
    <t>Danh định nghĩa backend review state và ranh giới adapter; Phúc hoàn thiện phần tích hợp giao diện quản trị.</t>
  </si>
  <si>
    <t>T15</t>
  </si>
  <si>
    <t>Sửa lỗi header và điều hướng giao diện Admin sau các đợt tích hợp tính năng.</t>
  </si>
  <si>
    <t>Header hiển thị ổn định, không che nội dung và các route quản trị hoạt động bình thường.</t>
  </si>
  <si>
    <t>PR #34</t>
  </si>
  <si>
    <t>Danh chủ động xử lý lỗi UI Admin còn lại và gửi PR nhỏ, dễ review để ổn định bản demo.</t>
  </si>
  <si>
    <t>T16</t>
  </si>
  <si>
    <t>Rà soát cơ chế reliability: rate limit nhiều scope, cache, graceful degradation và tiêu chí kiểm chứng.</t>
  </si>
  <si>
    <t>Blueprint mô tả rõ thuật toán, ngưỡng, fallback và liên kết sang code/test.</t>
  </si>
  <si>
    <t>Issue #1; PR #3</t>
  </si>
  <si>
    <t>Phúc đóng góp review Blueprint reliability và chuyển các yêu cầu bảo vệ tải thành hạng mục cài đặt cụ thể.</t>
  </si>
  <si>
    <t>T17</t>
  </si>
  <si>
    <t>Xây Admin Web/API cho đăng nhập, CRUD concert, ticket type và xem notification records.</t>
  </si>
  <si>
    <t>Organizer thao tác được concert thuộc organization; UI/API có kiểm tra quyền và dữ liệu thật.</t>
  </si>
  <si>
    <t>Issue #8; PR #17</t>
  </si>
  <si>
    <t>Phúc phụ trách luồng Admin tối thiểu từ backend tới UI và xử lý các lỗi tích hợp ban đầu.</t>
  </si>
  <si>
    <t>T18</t>
  </si>
  <si>
    <t>Cài notification abstraction và tạo notification record sau khi mua vé.</t>
  </si>
  <si>
    <t>Mỗi channel có idempotency key ổn định; lỗi gửi không rollback order/ticket và có trạng thái retry.</t>
  </si>
  <si>
    <t>Phúc xây notification flow và tích hợp vào Admin/Audience để theo dõi trạng thái gửi.</t>
  </si>
  <si>
    <t>T19</t>
  </si>
  <si>
    <t>Cài Redis fixed-window rate limit theo IP/user/device cho reservation API.</t>
  </si>
  <si>
    <t>Ngưỡng 30/10/20 mỗi 60 giây; vượt ngưỡng trả 429 + Retry-After và có fallback local.</t>
  </si>
  <si>
    <t>Issue #13; PR #18</t>
  </si>
  <si>
    <t>Phúc hiện thực rate-limit guard nhiều scope, log từ chối và phương án suy giảm khi Redis lỗi.</t>
  </si>
  <si>
    <t>T20</t>
  </si>
  <si>
    <t>Cài cache-aside cho concert/inventory, TTL jitter, miss coalescing và invalidation.</t>
  </si>
  <si>
    <t>Concert TTL 60 giây, inventory 5 giây; write path xóa đúng key và cache không quyết định bán vé.</t>
  </si>
  <si>
    <t>Phúc xây lớp cache dùng chung, hit/miss log, miss budget và test consistency khi cập nhật dữ liệu.</t>
  </si>
  <si>
    <t>T21</t>
  </si>
  <si>
    <t>Xây Guest List CSV import với checksum idempotent, staging, validate/dedupe và versioned publish.</t>
  </si>
  <si>
    <t>File lặp trả batch cũ; dòng lỗi có rowNumber/reason; chỉ publish khi toàn bộ dữ liệu hợp lệ.</t>
  </si>
  <si>
    <t>Issue #24; PR #28</t>
  </si>
  <si>
    <t>Phúc phụ trách toàn bộ import pipeline, failure path, error report và guest invitation email.</t>
  </si>
  <si>
    <t>T22</t>
  </si>
  <si>
    <t>Thiết kế lại Admin UI và tích hợp màn hình quản lý Guest List vào luồng concert.</t>
  </si>
  <si>
    <t>Giao diện nhất quán với Audience; upload, xem batch/error và dữ liệu active rõ ràng.</t>
  </si>
  <si>
    <t>PR #30</t>
  </si>
  <si>
    <t>Phúc tái cấu trúc UI Admin, nối API Guest List và sửa các lỗi phát sinh sau tích hợp.</t>
  </si>
  <si>
    <t>T23</t>
  </si>
  <si>
    <t>Tích hợp Artist Bio vào Admin: upload PDF, theo dõi job, review, sửa và publish draft.</t>
  </si>
  <si>
    <t>Organizer hoàn thành được luồng AI end-to-end; trạng thái lỗi/retry hiển thị rõ và không tự publish.</t>
  </si>
  <si>
    <t>PR #32</t>
  </si>
  <si>
    <t>Phúc hoàn thiện giao diện và orchestration cho AI Artist Bio, phối hợp với pipeline backend của Danh.</t>
  </si>
  <si>
    <t>T24</t>
  </si>
  <si>
    <t>Bổ sung dashboard doanh thu và workflow hủy concert/refund có trạng thái theo dõi.</t>
  </si>
  <si>
    <t>Dashboard tổng hợp đúng dữ liệu; hủy concert tạo refund workflow và notification liên quan.</t>
  </si>
  <si>
    <t>PR #33</t>
  </si>
  <si>
    <t>Phúc xây dashboard vận hành, luồng cancellation/refund và hoàn thiện seed/language cho bản demo.</t>
  </si>
  <si>
    <t>T25</t>
  </si>
  <si>
    <t>Thiết kế kiến trúc tổng thể modular monolith, failure boundary và nguyên tắc PostgreSQL là source of truth.</t>
  </si>
  <si>
    <t>Tài liệu mô tả container/module, giao tiếp sync/async và ảnh hưởng khi payment/Redis/AI lỗi.</t>
  </si>
  <si>
    <t>Issue #1; blueprint/01-system-design.md</t>
  </si>
  <si>
    <t>Toàn dẫn dắt kiến trúc, chuẩn hóa ranh giới domain và liên kết quyết định thiết kế với code thực tế.</t>
  </si>
  <si>
    <t>T26</t>
  </si>
  <si>
    <t>Hoàn thiện C4 System Context/Container cho Audience, Organizer, Scanner, payment, AI, CSV và cache.</t>
  </si>
  <si>
    <t>Sơ đồ thể hiện đúng actor, external system, công nghệ container và hướng giao tiếp.</t>
  </si>
  <si>
    <t>Issue #1; blueprint/02-c4-diagrams.md</t>
  </si>
  <si>
    <t>Toàn tổng hợp mô hình C4 và đối chiếu với các ứng dụng/backend module hiện có trong repository.</t>
  </si>
  <si>
    <t>T27</t>
  </si>
  <si>
    <t>Hoàn thiện high-level architecture và các core design decision về payment, offline, traffic, notification, CSV, AI.</t>
  </si>
  <si>
    <t>Sơ đồ và tài liệu nêu invariant, đánh đổi, failure path và giới hạn của bản demo.</t>
  </si>
  <si>
    <t>Commit 1986976; blueprint/core-design-decisions/</t>
  </si>
  <si>
    <t>Toàn rà soát và refactor tài liệu kiến trúc để khớp với trạng thái cài đặt cuối cùng của nhóm.</t>
  </si>
  <si>
    <t>T28</t>
  </si>
  <si>
    <t>Xây Audience Web: catalog/detail concert, sơ đồ ghế SVG, auth, tài khoản và chọn vé.</t>
  </si>
  <si>
    <t>Dữ liệu tải từ Backend API; URL dùng slug; UI hiển thị sale status và tồn kho với trạng thái phù hợp.</t>
  </si>
  <si>
    <t>Issue #7; PR #22</t>
  </si>
  <si>
    <t>Toàn phụ trách Audience Web, tích hợp API/auth và hoàn thiện trải nghiệm chọn concert, loại vé, tài khoản.</t>
  </si>
  <si>
    <t>T29</t>
  </si>
  <si>
    <t>Cài circuit breaker, bulkhead và graceful degradation cho payment provider.</t>
  </si>
  <si>
    <t>5 lỗi retryable mở circuit; cooldown 30 giây; Half-Open một probe; trả 503 + Retry-After khi mở.</t>
  </si>
  <si>
    <t>Issue #14; PR #19</t>
  </si>
  <si>
    <t>Toàn hiện thực payment resilience và test state transition/fallback để catalog không bị kéo sập theo gateway.</t>
  </si>
  <si>
    <t>T30</t>
  </si>
  <si>
    <t>Cài durable idempotency, provider-event dedupe và reconciliation cho payment timeout mơ hồ.</t>
  </si>
  <si>
    <t>Retry cùng key replay response; body khác trả 409; timeout giữ pending_reconciliation và không phát hành vé trùng.</t>
  </si>
  <si>
    <t>Toàn thiết kế/cài state machine payment, idempotency record và worker reconciliation dùng chung finalization path.</t>
  </si>
  <si>
    <t>T31</t>
  </si>
  <si>
    <t>Tích hợp VNPAY provider và cơ chế delegation/fallback theo cấu hình.</t>
  </si>
  <si>
    <t>Tạo đúng checkout URL/signature, dùng provider idempotency key và giữ cùng contract với mock provider.</t>
  </si>
  <si>
    <t>Commit 9fdfb0a</t>
  </si>
  <si>
    <t>Toàn bổ sung VNPAY adapter mà không thay đổi logic order/payment cốt lõi, giúp demo provider thật linh hoạt.</t>
  </si>
  <si>
    <t>T32</t>
  </si>
  <si>
    <t>Hoàn thiện Flash-Sale UX: reservation countdown, retry/degraded state, payment status và vé đã mua.</t>
  </si>
  <si>
    <t>UI phân biệt sold-out, rate-limit, pending reconciliation và success; không khuyến khích tạo payment mới khi kết quả chưa chắc chắn.</t>
  </si>
  <si>
    <t>Issue #15; PR #22; commit f04c898</t>
  </si>
  <si>
    <t>Toàn nối contract resilience vào Audience Web và cải thiện trạng thái checkout/payment để người dùng thao tác an toàn.</t>
  </si>
  <si>
    <t>T33</t>
  </si>
  <si>
    <t>Cài reminder trước 24 giờ, scheduled worker và adapter email/in-app có idempotency.</t>
  </si>
  <si>
    <t>Mỗi concert/user/channel chỉ tạo một reminder; worker retry được và lỗi gửi không ảnh hưởng nghiệp vụ mua vé.</t>
  </si>
  <si>
    <t>Commit 67439cb</t>
  </si>
  <si>
    <t>Toàn hoàn thiện reminder scheduler/worker và phối hợp Phúc để giữ notification abstraction dễ mở rộng.</t>
  </si>
  <si>
    <t>ĐÁNH GIÁ CHÉO GIỮA CÁC THÀNH VIÊN</t>
  </si>
  <si>
    <t>Mỗi thành viên đánh giá các thành viên còn lại, không tự đánh giá chính mình. Nhóm 1 thành viên để trống. Nhận xét phải có ví dụ cụ thể, tránh tất cả đều 5 điểm.</t>
  </si>
  <si>
    <t>Người đánh giá</t>
  </si>
  <si>
    <t>Người được đánh giá</t>
  </si>
  <si>
    <t>Mức đóng góp</t>
  </si>
  <si>
    <t>Đúng tiến độ</t>
  </si>
  <si>
    <t>Chất lượng đầu ra</t>
  </si>
  <si>
    <t>Chủ động xử lý vấn đề</t>
  </si>
  <si>
    <t>Hỗ trợ nhóm</t>
  </si>
  <si>
    <t>Khả năng giải thích phần việc</t>
  </si>
  <si>
    <t>Điểm TB</t>
  </si>
  <si>
    <t>Nhận xét cụ thể</t>
  </si>
  <si>
    <t>Ví dụ/minh chứng</t>
  </si>
  <si>
    <t>Xác nhận</t>
  </si>
  <si>
    <t>Danh xây nền database/backend core chắc, đồng thời xử lý tốt hardening và AI pipeline. Nên gom các thay đổi backend lớn thành PR dễ review hơn và bổ sung thêm test tự động cho nhánh lỗi AI/hardening.</t>
  </si>
  <si>
    <t>PR #4 https://github.com/Toanapr/ticket-box/pull/4
 PR #25 https://github.com/Toanapr/ticket-box/pull/25
 AI commit https://github.com/Toanapr/ticket-box/commit/f274454</t>
  </si>
  <si>
    <t>Phúc đóng góp rộng ở admin, cache/rate limit, guest list, AI và dashboard; phối hợp tích hợp nhanh. Một số PR có phạm vi rất lớn, nên tách theo feature và bổ sung regression test để việc review ổn định hơn.</t>
  </si>
  <si>
    <t>PR #18 https://github.com/Toanapr/ticket-box/pull/18
 PR #28 https://github.com/Toanapr/ticket-box/pull/28
 PR #32/#33 https://github.com/Toanapr/ticket-box/pull/32</t>
  </si>
  <si>
    <t>Toàn triển khai audience web và payment resilience tốt, nắm rõ contract giữa frontend và backend. Nên chuẩn hóa Git author và tăng test end-to-end cho checkout/notification để minh chứng nhất quán hơn.</t>
  </si>
  <si>
    <t>PR #19 https://github.com/Toanapr/ticket-box/pull/19
 PR #22 https://github.com/Toanapr/ticket-box/pull/22
 Notification commit https://github.com/Toanapr/ticket-box/commit/67439cb</t>
  </si>
  <si>
    <t>Tú xử lý tốt các luồng khó về transaction payment, check-in manifest và scanner offline; chủ động hoàn thiện tích hợp. Cần bổ sung thêm test tự động cho offline conflict/sync retry và chia PR lớn thành các phần dễ kiểm tra.</t>
  </si>
  <si>
    <t>PR #10 https://github.com/Toanapr/ticket-box/pull/10
 PR #23 https://github.com/Toanapr/ticket-box/pull/23
 PR #31 https://github.com/Toanapr/ticket-box/pull/31</t>
  </si>
  <si>
    <t>Phúc hoàn thành nhiều module quan trọng và hỗ trợ nối admin với backend hiệu quả. Nên giới hạn phạm vi từng PR, ghi rõ checklist test và tăng coverage cho guest list, AI và refund workflow.</t>
  </si>
  <si>
    <t>Toàn làm tốt audience UX, payment resilience và các quyết định tích hợp quan trọng; phản hồi vấn đề contract nhanh. Phần notification/payment nên có thêm kịch bản lỗi end-to-end và tài liệu demo tập trung.</t>
  </si>
  <si>
    <t>Tú đảm nhiệm tốt backend payment và scanner/check-in offline, giải thích được các invariant quan trọng. Nên cập nhật tiến độ và mô tả PR đều hơn, đồng thời bổ sung test cho conflict nhiều thiết bị và manifest hết hạn.</t>
  </si>
  <si>
    <t>Danh xử lý vững phần database, backend core, log hardening và AI worker; sẵn sàng hỗ trợ khi có lỗi nền tảng. Cần làm lịch sử PR rõ hơn cho backend core/AI và bổ sung test tích hợp để nhóm dễ truy vết chất lượng.</t>
  </si>
  <si>
    <t>Toàn giữ tốt luồng audience, payment và tài liệu kiến trúc; hỗ trợ nhóm chốt contract và UX. Nên chuẩn hóa tên tác giả commit, gom minh chứng demo và bổ sung regression test cho các thay đổi xuyên module.</t>
  </si>
  <si>
    <t>Tú hoàn thành các luồng có độ khó cao về reservation/payment và offline check-in; phối hợp tích hợp scanner tốt. Cần tăng test tự động cho retry/conflict và ghi rõ phạm vi thay đổi khi PR chạm nhiều file.</t>
  </si>
  <si>
    <t>Danh xây nền backend/database tốt, xử lý hardening và AI pipeline có chiều sâu; hỗ trợ sửa lỗi tích hợp nhanh. Nên tăng test cho failure path, chuẩn hóa quy trình PR và ghi hướng dẫn demo ngắn cho các module backend khó.</t>
  </si>
  <si>
    <t>Phúc có khối lượng đóng góp lớn ở admin, cache, guest list, AI và dashboard; chủ động xử lý nhiều lỗi tích hợp. Nên tách PR theo chức năng và bổ sung checklist regression để hạn chế rủi ro khi thay đổi nhiều module cùng lúc.</t>
  </si>
  <si>
    <t>TỰ ĐÁNH GIÁ CÁ NHÂN — MỖI THÀNH VIÊN MỘT DÒNG</t>
  </si>
  <si>
    <t>Thang 1–5: 1 = gần như chưa tham gia/không giải thích được; 3 = hoàn thành phần được giao; 5 = chủ động, có minh chứng rõ và giải thích được quyết định kỹ thuật khi vấn đáp.</t>
  </si>
  <si>
    <t>Thành viên</t>
  </si>
  <si>
    <t>Hiểu bài toán</t>
  </si>
  <si>
    <t>Blueprint/kiến trúc</t>
  </si>
  <si>
    <t>Cài đặt nghiệp vụ</t>
  </si>
  <si>
    <t>Cơ chế kỹ thuật</t>
  </si>
  <si>
    <t>Kiểm thử/chất lượng</t>
  </si>
  <si>
    <t>Tài liệu/README</t>
  </si>
  <si>
    <t>Demo/video</t>
  </si>
  <si>
    <t>Hợp tác nhóm</t>
  </si>
  <si>
    <t>Khả năng vấn đáp</t>
  </si>
  <si>
    <t>3 đóng góp quan trọng nhất</t>
  </si>
  <si>
    <t>Phần chưa hoàn thành/hạn chế</t>
  </si>
  <si>
    <t>Minh chứng tiêu biểu</t>
  </si>
  <si>
    <t>Tỷ lệ đóng góp tự khai (%)</t>
  </si>
  <si>
    <t>Cam kết trung thực</t>
  </si>
  <si>
    <t>1) Hoàn thiện backend reservation/order/payment/ticket với transaction, quota và idempotency; 2) Xây check-in backend và manifest; 3) Triển khai scanner PWA offline queue, sync và device management.</t>
  </si>
  <si>
    <t>Một số PR có phạm vi lớn và lịch sử PR trùng/đóng; cần tách thay đổi nhỏ hơn, cập nhật mô tả tiến độ đều hơn và bổ sung test tự động cho conflict nhiều thiết bị, manifest hết hạn và sync retry.</t>
  </si>
  <si>
    <t>1) Thiết kế database, migration và backend core; 2) Hoàn thiện structured logs, hardening verification và risk checks; 3) Xây AI Artist Bio backend pipeline và hỗ trợ sửa lỗi UI admin.</t>
  </si>
  <si>
    <t>Backend core và AI còn thiếu lịch sử PR tập trung, một phần được đưa vào qua commit trực tiếp; cần bổ sung integration test cho failure path, chuẩn hóa quy trình PR và viết hướng dẫn demo ngắn cho các module backend khó.</t>
  </si>
  <si>
    <t>PR #4 https://github.com/Toanapr/ticket-box/pull/4
 PR #25 https://github.com/Toanapr/ticket-box/pull/25
 Core/AI https://github.com/Toanapr/ticket-box/commit/3f2cf1f | https://github.com/Toanapr/ticket-box/commit/f274454</t>
  </si>
  <si>
    <t>1) Xây admin, notification, revenue dashboard và refund workflow; 2) Triển khai Redis cache-aside và rate limiting; 3) Hoàn thiện guest list CSV, AI Artist Bio và nhiều lượt sửa lỗi tích hợp.</t>
  </si>
  <si>
    <t>Một số PR như phần admin tổng hợp có phạm vi rất lớn; cần tách theo feature, ghi checklist test rõ hơn và tăng regression test cho guest list failure, AI review/publish và refund workflow.</t>
  </si>
  <si>
    <t>PR #18 https://github.com/Toanapr/ticket-box/pull/18
 PR #28 https://github.com/Toanapr/ticket-box/pull/28
 PR #30/#32/#33 https://github.com/Toanapr/ticket-box/pull/30</t>
  </si>
  <si>
    <t>1) Dẫn dắt kiến trúc/blueprint và triển khai audience web; 2) Hoàn thiện payment resilience, durable idempotency, reconciliation và VNPAY; 3) Tích hợp notification reminder, API contract và cải thiện checkout UX.</t>
  </si>
  <si>
    <t>Tên Git author còn chưa thống nhất giữa Toan Huynh/Toàn Huỳnh/Lab User; cần chuẩn hóa để truy vết minh chứng, đồng thời bổ sung thêm test end-to-end checkout/notification và gom tài liệu demo tập trung.</t>
  </si>
  <si>
    <t>PR #19 https://github.com/Toanapr/ticket-box/pull/19
 PR #22 https://github.com/Toanapr/ticket-box/pull/22
 Notification https://github.com/Toanapr/ticket-box/commit/67439cb</t>
  </si>
  <si>
    <t>DANH MỤC MINH CHỨNG VÀ KIỂM TRA GOOGLE DRIVE</t>
  </si>
  <si>
    <t>A. DANH MỤC MINH CHỨNG</t>
  </si>
  <si>
    <t>Loại</t>
  </si>
  <si>
    <t>Mô tả minh chứng</t>
  </si>
  <si>
    <t>URL/Path</t>
  </si>
  <si>
    <t>Ngày</t>
  </si>
  <si>
    <t>Cách kiểm tra</t>
  </si>
  <si>
    <t>Kết quả</t>
  </si>
  <si>
    <t>MC01</t>
  </si>
  <si>
    <t>Tài liệu kiến trúc tổng thể, thành phần, giao tiếp và failure isolation.</t>
  </si>
  <si>
    <t>https://github.com/Toanapr/ticket-box/blob/dev/blueprint/01-system-design.md</t>
  </si>
  <si>
    <t>Mở tài liệu; đối chiếu kiến trúc modular monolith, async path và ảnh hưởng khi dependency lỗi.</t>
  </si>
  <si>
    <t>MC02</t>
  </si>
  <si>
    <t>C4 Level 1 — System Context và các actor/hệ thống ngoài.</t>
  </si>
  <si>
    <t>https://github.com/Toanapr/ticket-box/blob/dev/blueprint/02-c4-diagrams.md</t>
  </si>
  <si>
    <t>Mở phần System Context; kiểm tra audience, organizer, scanner, payment, AI và CSV.</t>
  </si>
  <si>
    <t>MC03</t>
  </si>
  <si>
    <t>C4 Level 2 — Container cho web, scanner, backend, database, Redis và broker/storage.</t>
  </si>
  <si>
    <t>Mở phần Container; kiểm tra công nghệ và hướng giao tiếp giữa container.</t>
  </si>
  <si>
    <t>MC04</t>
  </si>
  <si>
    <t>High-level architecture thể hiện payment, AI, CSV, offline check-in và failure boundary.</t>
  </si>
  <si>
    <t>https://github.com/Toanapr/ticket-box/blob/dev/blueprint/03-high-level-architecture.md</t>
  </si>
  <si>
    <t>Đối chiếu critical path, async path và graceful degradation.</t>
  </si>
  <si>
    <t>MC05</t>
  </si>
  <si>
    <t>Thiết kế dữ liệu và invariant cho reservation, order, payment, ticket, inventory và quota.</t>
  </si>
  <si>
    <t>https://github.com/Toanapr/ticket-box/blob/dev/blueprint/04-database-design.md</t>
  </si>
  <si>
    <t>Kiểm tra entity, unique constraint, status và transaction boundary.</t>
  </si>
  <si>
    <t>MC06</t>
  </si>
  <si>
    <t>Luồng mua vé từ reserve đến payment và phát hành e-ticket, gồm failure path.</t>
  </si>
  <si>
    <t>https://github.com/Toanapr/ticket-box/blob/dev/blueprint/05-business-flows.md</t>
  </si>
  <si>
    <t>Theo dõi reserve → order → payment → ticket và các nhánh timeout/retry.</t>
  </si>
  <si>
    <t>MC07</t>
  </si>
  <si>
    <t>Thiết kế offline check-in, durable queue, manifest và conflict policy.</t>
  </si>
  <si>
    <t>https://github.com/Toanapr/ticket-box/blob/dev/blueprint/core-design-decisions/offline-check-in.md</t>
  </si>
  <si>
    <t>Kiểm tra manifest TTL, local queue, ACK và duplicate/conflict handling.</t>
  </si>
  <si>
    <t>MC08</t>
  </si>
  <si>
    <t>Thiết kế Guest List CSV với staging, validation, dedupe và publish all-or-nothing.</t>
  </si>
  <si>
    <t>https://github.com/Toanapr/ticket-box/blob/dev/blueprint/core-design-decisions/guest-list-csv-import.md</t>
  </si>
  <si>
    <t>Đối chiếu validation, duplicate, idempotency và failure isolation.</t>
  </si>
  <si>
    <t>MC09</t>
  </si>
  <si>
    <t>RBAC, ownership và scanner access control matrix.</t>
  </si>
  <si>
    <t>https://github.com/Toanapr/ticket-box/blob/dev/blueprint/06-access-control.md</t>
  </si>
  <si>
    <t>Kiểm tra quyền audience/organizer/scanner và ownership tại API.</t>
  </si>
  <si>
    <t>MC10</t>
  </si>
  <si>
    <t>Thiết kế bảo vệ traffic spike, rate limit, fairness và backpressure.</t>
  </si>
  <si>
    <t>https://github.com/Toanapr/ticket-box/blob/dev/blueprint/core-design-decisions/sale-traffic-spike.md</t>
  </si>
  <si>
    <t>Kiểm tra key giới hạn, ngưỡng, 429/Retry-After và hành vi quá tải.</t>
  </si>
  <si>
    <t>MC11</t>
  </si>
  <si>
    <t>Circuit breaker và graceful degradation khi payment provider lỗi.</t>
  </si>
  <si>
    <t>https://github.com/Toanapr/ticket-box/blob/dev/blueprint/core-design-decisions/unstable-payment-gateway.md</t>
  </si>
  <si>
    <t>Kiểm tra Closed/Open/Half-Open, timeout, fallback và reconciliation.</t>
  </si>
  <si>
    <t>MC12</t>
  </si>
  <si>
    <t>Thiết kế durable idempotency cho reservation/payment/webhook.</t>
  </si>
  <si>
    <t>Kiểm tra cách sinh/lưu key, replay response và xử lý request trùng.</t>
  </si>
  <si>
    <t>MC13</t>
  </si>
  <si>
    <t>Cache-aside cho concert list/detail và inventory summary, có TTL/invalidation.</t>
  </si>
  <si>
    <t>https://github.com/Toanapr/ticket-box/blob/dev/blueprint/core-design-decisions/high-read-traffic.md</t>
  </si>
  <si>
    <t>Kiểm tra key, TTL, invalidation và cache miss budget.</t>
  </si>
  <si>
    <t>MC14</t>
  </si>
  <si>
    <t>Bộ core design decisions ghi quyết định và trade-off kiến trúc quan trọng.</t>
  </si>
  <si>
    <t>https://github.com/Toanapr/ticket-box/tree/dev/blueprint/core-design-decisions</t>
  </si>
  <si>
    <t>Mở README và các quyết định về locking, payment, cache, offline, CSV, AI.</t>
  </si>
  <si>
    <t>MC15</t>
  </si>
  <si>
    <t>Feature specs có acceptance criteria, error scenarios và liên kết source of truth.</t>
  </si>
  <si>
    <t>https://github.com/Toanapr/ticket-box/tree/dev/blueprint/specs</t>
  </si>
  <si>
    <t>Mở từng spec payment, ticket purchase, offline check-in, guest list và AI bio.</t>
  </si>
  <si>
    <t>MC16</t>
  </si>
  <si>
    <t>Audience web: concert list/detail, checkout UI, ticket QR, poster và seating map.</t>
  </si>
  <si>
    <t>https://github.com/Toanapr/ticket-box/pull/22</t>
  </si>
  <si>
    <t>Mở Files changed; đối chiếu các route concert, checkout, order và ticket.</t>
  </si>
  <si>
    <t>MC17</t>
  </si>
  <si>
    <t>Checkout end-to-end từ reservation đến payment success và issued ticket QR.</t>
  </si>
  <si>
    <t>https://github.com/Toanapr/ticket-box/blob/dev/src/backend-api/test/checkout-flow.e2e-spec.ts
 TODO_EVIDENCE_IM02_CHECKOUT_VIDEO_OR_TEST_RUN_URL</t>
  </si>
  <si>
    <t>Chạy checkout-flow e2e; kiểm tra DB records và quay clip luồng UI đến QR.</t>
  </si>
  <si>
    <t>Thiếu video hoặc log test đã chạy. Bổ sung URL Drive/GitHub Actions vào placeholder IM02.</t>
  </si>
  <si>
    <t>MC18</t>
  </si>
  <si>
    <t>Test quota tài khoản dưới parallel requests.</t>
  </si>
  <si>
    <t>https://github.com/Toanapr/ticket-box/blob/dev/src/backend-api/test/checkout-flow.e2e-spec.ts
 TODO_EVIDENCE_IM03_QUOTA_TEST_RUN_URL</t>
  </si>
  <si>
    <t>Chạy test 'does not let one user exceed quota with parallel requests'; lưu output.</t>
  </si>
  <si>
    <t>Đã có test code nhưng chưa có report/log chạy đính kèm.</t>
  </si>
  <si>
    <t>MC19</t>
  </si>
  <si>
    <t>Notification adapters, worker, email/in-app và reminder scheduler 24 giờ.</t>
  </si>
  <si>
    <t>https://github.com/Toanapr/ticket-box/tree/dev/src/backend-api/src/modules/notification
 https://github.com/Toanapr/ticket-box/blob/dev/src/backend-api/src/modules/notification/notification-reminder.scheduler.spec.ts</t>
  </si>
  <si>
    <t>Mở adapter/worker/scheduler; chạy unit test và kiểm tra lỗi notification không rollback ticket.</t>
  </si>
  <si>
    <t>Nên bổ sung ảnh email/in-app hoặc video accelerated-clock trước khi nộp.</t>
  </si>
  <si>
    <t>MC20</t>
  </si>
  <si>
    <t>Admin CRUD concert/ticket type, dashboard doanh thu và refund workflow.</t>
  </si>
  <si>
    <t>https://github.com/Toanapr/ticket-box/pull/33</t>
  </si>
  <si>
    <t>Mở Files changed và trang admin dashboard/concert operations; kiểm tra API ownership.</t>
  </si>
  <si>
    <t>MC21</t>
  </si>
  <si>
    <t>RBAC/ownership được cài ở auth guard, roles guard, admin và scanner APIs.</t>
  </si>
  <si>
    <t>https://github.com/Toanapr/ticket-box/tree/dev/src/backend-api/src/modules/auth
 https://github.com/Toanapr/ticket-box/blob/dev/src/backend-api/test/scanner-assignment.e2e-spec.ts</t>
  </si>
  <si>
    <t>Chạy auth/admin/scanner tests với role đúng và sai; kiểm tra 401/403/ownership.</t>
  </si>
  <si>
    <t>Nên xuất một test report RBAC tổng hợp để minh chứng dễ chấm.</t>
  </si>
  <si>
    <t>MC22</t>
  </si>
  <si>
    <t>Scanner mobile/PWA quét QR, validate và tạo check-in record.</t>
  </si>
  <si>
    <t>https://github.com/Toanapr/ticket-box/tree/dev/src/scanner-mobile
 https://github.com/Toanapr/ticket-box/tree/dev/src/scanner-pwa/src/app/scanner</t>
  </si>
  <si>
    <t>Mở ScanScreen/scan.ts và scanner page; demo camera hoặc nhập QR thủ công.</t>
  </si>
  <si>
    <t>Thiếu video quay trên thiết bị thật; có thể bổ sung vào Drive.</t>
  </si>
  <si>
    <t>MC23</t>
  </si>
  <si>
    <t>Offline queue, reload persistence, sync retry và conflict hai thiết bị.</t>
  </si>
  <si>
    <t>https://github.com/Toanapr/ticket-box/blob/dev/src/backend-api/test/scanner-check-in-sync.e2e-spec.ts
 https://github.com/Toanapr/ticket-box/tree/dev/src/scanner-pwa/scripts
 TODO_EVIDENCE_IM08_OFFLINE_DEMO_VIDEO_URL</t>
  </si>
  <si>
    <t>Chạy scanner e2e và verify-* scripts; quay video tắt/bật mạng và conflict.</t>
  </si>
  <si>
    <t>Đã có test/script nhưng thiếu log chạy và video offline demo đính kèm.</t>
  </si>
  <si>
    <t>MC24</t>
  </si>
  <si>
    <t>AI Artist Bio: upload PDF, extract/sanitize, provider, draft review/publish và retry.</t>
  </si>
  <si>
    <t>https://github.com/Toanapr/ticket-box/blob/dev/src/backend-api/src/modules/artist-bio/artist-bio.service.spec.ts
 https://github.com/Toanapr/ticket-box/blob/dev/docs/test-data/artist-press-kit-multi-artist-test.pdf</t>
  </si>
  <si>
    <t>Chạy artist-bio specs với PDF mẫu; kiểm tra READY/FAILED, edit và publish.</t>
  </si>
  <si>
    <t>Nên bổ sung ảnh trang review/publish hoặc video demo AI job.</t>
  </si>
  <si>
    <t>MC25</t>
  </si>
  <si>
    <t>Guest List CSV import với 18 scenario validation, duplicate và failure isolation.</t>
  </si>
  <si>
    <t>https://github.com/Toanapr/ticket-box/blob/dev/src/backend-api/src/modules/guest-list/guest-list-import.service.spec.ts
 https://github.com/Toanapr/ticket-box/tree/dev/docs/test-data/guest-list-scenarios</t>
  </si>
  <si>
    <t>Chạy guest-list specs với scenario valid/invalid; kiểm tra version active không bị ghi đè khi lỗi.</t>
  </si>
  <si>
    <t>MC26</t>
  </si>
  <si>
    <t>Concurrency test không oversell vé cuối cùng.</t>
  </si>
  <si>
    <t>https://github.com/Toanapr/ticket-box/blob/dev/src/backend-api/test/checkout-flow.e2e-spec.ts
 TODO_EVIDENCE_IM11_OVERSELL_TEST_RUN_URL</t>
  </si>
  <si>
    <t>Chạy test 'does not oversell the last available ticket under concurrent requests'; lưu log.</t>
  </si>
  <si>
    <t>MC27</t>
  </si>
  <si>
    <t>Rate-limit guard và test trả 429/Retry-After cho reservation spam.</t>
  </si>
  <si>
    <t>https://github.com/Toanapr/ticket-box/blob/dev/src/backend-api/src/common/cache/rate-limit.guard.spec.ts
 https://github.com/Toanapr/ticket-box/blob/dev/src/backend-api/test/checkout-flow.e2e-spec.ts
 TODO_EVIDENCE_IM12_K6_REPORT_URL</t>
  </si>
  <si>
    <t>Chạy unit/e2e và load test; kiểm tra RPS, 429 và database không quá tải.</t>
  </si>
  <si>
    <t>Thiếu K6/load-test report hoặc GitHub Actions artifact. Bổ sung vào placeholder IM12.</t>
  </si>
  <si>
    <t>MC28</t>
  </si>
  <si>
    <t>Circuit breaker implementation và state-transition unit tests.</t>
  </si>
  <si>
    <t>https://github.com/Toanapr/ticket-box/blob/dev/src/backend-api/src/modules/payment/resilience/payment-circuit-breaker.service.spec.ts
 TODO_EVIDENCE_IM13_CIRCUIT_TEST_RUN_URL</t>
  </si>
  <si>
    <t>Chạy spec; kiểm tra Closed → Open → Half-Open → Closed và public reads vẫn hoạt động.</t>
  </si>
  <si>
    <t>Thiếu log/report chạy test circuit breaker.</t>
  </si>
  <si>
    <t>MC29</t>
  </si>
  <si>
    <t>Durable idempotency, webhook replay và reconciliation tests.</t>
  </si>
  <si>
    <t>https://github.com/Toanapr/ticket-box/blob/dev/src/backend-api/test/checkout-flow.e2e-spec.ts
 TODO_EVIDENCE_IM14_IDEMPOTENCY_TEST_RUN_URL</t>
  </si>
  <si>
    <t>Chạy các case duplicate reservation, webhook replay, lost webhook reconciliation; kiểm tra chỉ một ticket/payment.</t>
  </si>
  <si>
    <t>Thiếu report chạy test hoặc ảnh DB trước/sau retry.</t>
  </si>
  <si>
    <t>MC30</t>
  </si>
  <si>
    <t>Redis cache-aside, hit/miss budget và invalidation tests.</t>
  </si>
  <si>
    <t>https://github.com/Toanapr/ticket-box/blob/dev/src/backend-api/src/common/cache/cache.service.spec.ts
 https://github.com/Toanapr/ticket-box/blob/dev/src/backend-api/src/common/cache/cache-invalidation.service.ts
 TODO_EVIDENCE_IM15_CACHE_TEST_RUN_URL</t>
  </si>
  <si>
    <t>Chạy cache specs; kiểm tra hit/miss log, TTL và invalidation khi admin/payment cập nhật.</t>
  </si>
  <si>
    <t>Thiếu log/report chạy Redis cache và invalidation end-to-end.</t>
  </si>
  <si>
    <t>MC31</t>
  </si>
  <si>
    <t>README cấp repository để clone và chạy toàn bộ hệ thống.</t>
  </si>
  <si>
    <t>TODO_EVIDENCE_IM16_ROOT_README_URL</t>
  </si>
  <si>
    <t>Từ máy sạch, làm theo README để khởi động backend, audience, admin và scanner.</t>
  </si>
  <si>
    <t>Repository chưa có README.md ở thư mục gốc. Cần tạo prerequisites, env, ports, commands, accounts và troubleshooting.</t>
  </si>
  <si>
    <t>MC32</t>
  </si>
  <si>
    <t>Seed script có ít nhất 4 concert, ticket types SVIP/VIP/CAT1/CAT2/GA và seating-map keys.</t>
  </si>
  <si>
    <t>https://github.com/Toanapr/ticket-box/blob/dev/src/backend-api/prisma/seed.js</t>
  </si>
  <si>
    <t>Chạy seed; kiểm tra 4+ concert, ticket types, inventory counters và assets hiển thị.</t>
  </si>
  <si>
    <t>Nên lưu ảnh/log seed thành công làm minh chứng bổ sung.</t>
  </si>
  <si>
    <t>MC33</t>
  </si>
  <si>
    <t>Khởi chạy và smoke test toàn bộ hệ thống theo Blueprint.</t>
  </si>
  <si>
    <t>TODO_EVIDENCE_IM18_ROOT_COMPOSE_OR_START_SCRIPT_URL
 TODO_EVIDENCE_IM18_FULL_SYSTEM_SMOKE_REPORT_URL</t>
  </si>
  <si>
    <t>Dùng một lệnh/script khởi động; smoke test audience → checkout → admin → scanner.</t>
  </si>
  <si>
    <t>Chưa có root compose/start script và report smoke end-to-end tập trung. Cần bổ sung trước khi nộp.</t>
  </si>
  <si>
    <t>MC34</t>
  </si>
  <si>
    <t>Google Drive gốc public và mở được ở chế độ ẩn danh.</t>
  </si>
  <si>
    <t>TODO_DRIVE_ROOT_PUBLIC_URL</t>
  </si>
  <si>
    <t>Mở link bằng cửa sổ ẩn danh/tài khoản khác; kiểm tra quyền Viewer.</t>
  </si>
  <si>
    <t>Bổ sung link Drive public và ảnh kiểm tra quyền.</t>
  </si>
  <si>
    <t>MC35</t>
  </si>
  <si>
    <t>Drive có blueprint.pdf hoặc thư mục blueprint đầy đủ.</t>
  </si>
  <si>
    <t>TODO_DRIVE_BLUEPRINT_URL</t>
  </si>
  <si>
    <t>Mở link trực tiếp; kiểm tra toàn bộ tài liệu blueprint và core decisions.</t>
  </si>
  <si>
    <t>Upload blueprint.pdf hoặc blueprint/ rồi thay placeholder.</t>
  </si>
  <si>
    <t>MC36</t>
  </si>
  <si>
    <t>TODO_DRIVE_SOURCE_DATA_README_URL</t>
  </si>
  <si>
    <t>Mở link; kiểm tra cấu trúc src/, data/ và README ở cấp gốc.</t>
  </si>
  <si>
    <t>Hiện repository chưa có data/ và README.md cấp gốc; cần tạo và upload trước khi thay placeholder.</t>
  </si>
  <si>
    <t>MC37</t>
  </si>
  <si>
    <t>Video MP4 1080p khoảng 720 kbps, có camera thành viên và demo code/app.</t>
  </si>
  <si>
    <t>TODO_DRIVE_FINAL_DEMO_VIDEO_URL</t>
  </si>
  <si>
    <t>Mở video; kiểm tra phát được, có camera, kiến trúc và demo các luồng chính.</t>
  </si>
  <si>
    <t>Chưa có link video cuối. Quay, encode và upload vào clips/.</t>
  </si>
  <si>
    <t>MC38</t>
  </si>
  <si>
    <t>File text nộp LMS đúng tên, nội dung là link Drive public.</t>
  </si>
  <si>
    <t>TODO_LMS_SUBMISSION_TXT_FILE_PATH</t>
  </si>
  <si>
    <t>Kiểm tra tên mã-nhóm_mssv1_mssv2_mssv3_mssv4.txt và nội dung chỉ chứa link Drive.</t>
  </si>
  <si>
    <t>Tạo file text sau khi chốt link Drive public.</t>
  </si>
  <si>
    <t>B. KIỂM TRA CẤU TRÚC GOOGLE DRIVE TRƯỚC KHI NỘP</t>
  </si>
  <si>
    <t>Hạng mục cần có</t>
  </si>
  <si>
    <t>Tên thư mục/file chuẩn</t>
  </si>
  <si>
    <t>Link trực tiếp</t>
  </si>
  <si>
    <t>Public?</t>
  </si>
  <si>
    <t>Mở được?</t>
  </si>
  <si>
    <t>Đủ nội dung?</t>
  </si>
  <si>
    <t>Người kiểm tra</t>
  </si>
  <si>
    <t>Ngày kiểm tra</t>
  </si>
  <si>
    <t>Thư mục Google Drive gốc</t>
  </si>
  <si>
    <t>Link public chứa toàn bộ bài</t>
  </si>
  <si>
    <t>blueprint.pdf hoặc blueprint/</t>
  </si>
  <si>
    <t>src/</t>
  </si>
  <si>
    <t>Seed data và script DB</t>
  </si>
  <si>
    <t>data/</t>
  </si>
  <si>
    <t>Hướng dẫn chạy</t>
  </si>
  <si>
    <t>README.md</t>
  </si>
  <si>
    <t>Video trình bày</t>
  </si>
  <si>
    <t>clips/ — MP4 1080p, ~720 kbps, camera + demo</t>
  </si>
  <si>
    <t>File text nộp LMS</t>
  </si>
  <si>
    <t>mã-nhóm_mssv1_mssv2_mssv3_mssv4.txt</t>
  </si>
  <si>
    <t>CHUẨN BỊ VẤN ĐÁP THEO YÊU CẦU TICKETBOX</t>
  </si>
  <si>
    <t>Giảng viên có thể hỏi bất kỳ thành viên nào. Hãy ghi ngắn gọn cách nhóm đã làm, file/code cần mở và người chịu trách nhiệm giải thích.</t>
  </si>
  <si>
    <t>Chủ đề vấn đáp</t>
  </si>
  <si>
    <t>Câu hỏi gợi ý</t>
  </si>
  <si>
    <t>Code/tài liệu cần mở</t>
  </si>
  <si>
    <t>Thành viên phụ trách</t>
  </si>
  <si>
    <t>Câu trả lời chuẩn bị ngắn gọn</t>
  </si>
  <si>
    <t>Đã luyện?</t>
  </si>
  <si>
    <t>Kiến trúc</t>
  </si>
  <si>
    <t>Vì sao nhóm chọn kiến trúc này? Khi payment lỗi thì phần nào vẫn hoạt động?</t>
  </si>
  <si>
    <t>Nhóm chọn NestJS modular monolith theo domain để transaction và triển khai demo đơn giản nhưng vẫn tách rõ module. Payment lỗi chỉ làm order ở pending_payment/pending_reconciliation; catalog, admin và scanner vẫn hoạt động, chưa phát hành vé trùng.</t>
  </si>
  <si>
    <t>C4 Container</t>
  </si>
  <si>
    <t>Các container giao tiếp đồng bộ/bất đồng bộ như thế nào? Vì sao cần broker/cache?</t>
  </si>
  <si>
    <t>blueprint/02-c4-diagrams.md
 blueprint/05-business-flows.md</t>
  </si>
  <si>
    <t>Web/PWA gọi Backend API đồng bộ qua REST. Tác vụ chậm dùng bản ghi bền vững trong PostgreSQL và scheduled worker; Redis chỉ cache/rate limit. Bản demo chưa dùng broker ngoài, nên durable table/outbox giữ trạng thái để retry.</t>
  </si>
  <si>
    <t>Database</t>
  </si>
  <si>
    <t>Entity và transaction boundary nào đảm bảo không oversell? SQL/NoSQL được chọn vì sao?</t>
  </si>
  <si>
    <t>blueprint/04-database-design.md
 src/backend-api/prisma/schema.prisma
 src/backend-api/src/modules/inventory/inventory.repository.ts</t>
  </si>
  <si>
    <t>PostgreSQL là source of truth vì inventory, quota, order và payment cần consistency mạnh. Khi reserve, Prisma transaction khóa inventory_counters và user_ticket_quotas bằng FOR UPDATE, kiểm tra tồn/quota rồi mới tăng reservedCount; NoSQL không phù hợp invariant này.</t>
  </si>
  <si>
    <t>BP09/IM06</t>
  </si>
  <si>
    <t>RBAC</t>
  </si>
  <si>
    <t>Một nhân sự soát vé thử gọi API tạo concert sẽ bị chặn ở đâu?</t>
  </si>
  <si>
    <t>blueprint/06-access-control.md
 src/backend-api/src/modules/auth/roles.guard.ts
 src/backend-api/src/modules/admin/admin.controller.ts</t>
  </si>
  <si>
    <t>AuthGuard xác thực JWT trước, sau đó RolesGuard đối chiếu @Roles('organizer') trên AdminController. Tài khoản scanner bị trả 403 trước khi vào createConcert; AdminService còn kiểm tra organization ownership cho tài nguyên cụ thể.</t>
  </si>
  <si>
    <t>BP10/IM12</t>
  </si>
  <si>
    <t>Rate limiting</t>
  </si>
  <si>
    <t>Nhóm dùng thuật toán nào, key là user/IP/token nào, ngưỡng bao nhiêu và vì sao?</t>
  </si>
  <si>
    <t>blueprint/07-protection-mechanisms.md
 src/backend-api/src/common/cache/rate-limit.guard.ts
 src/backend-api/src/modules/inventory/inventory.controller.ts</t>
  </si>
  <si>
    <t>POST /reservations dùng fixed-window 60 giây trên Redis: IP 30, user 10, device/session 20. Key gồm scope + định danh + endpoint + cửa sổ; vượt ngưỡng trả 429 và Retry-After. Nhiều scope vừa hạn chế bot vừa không khóa nhầm toàn bộ người dùng chung IP.</t>
  </si>
  <si>
    <t>BP11/IM13</t>
  </si>
  <si>
    <t>Circuit breaker</t>
  </si>
  <si>
    <t>Điều kiện chuyển Closed → Open → Half-Open? Fallback khi payment lỗi là gì?</t>
  </si>
  <si>
    <t>blueprint/core-design-decisions/unstable-payment-gateway.md
 src/backend-api/src/modules/payment/resilience/payment-circuit-breaker.service.ts
 payment-circuit-breaker.service.spec.ts</t>
  </si>
  <si>
    <t>Mặc định 5 lỗi retryable mở circuit; sau 30 giây chuyển Half-Open và chỉ cho một probe. Probe thành công về Closed, thất bại mở lại. Circuit mở trả 503 + Retry-After; timeout mơ hồ chuyển payment sang pending_reconciliation, không tạo intent mới.</t>
  </si>
  <si>
    <t>BP12/IM14</t>
  </si>
  <si>
    <t>Idempotency</t>
  </si>
  <si>
    <t>Nếu client retry 5 lần cùng Idempotency-Key, database và response thay đổi thế nào?</t>
  </si>
  <si>
    <t>src/backend-api/src/common/idempotency/idempotency.service.ts
 src/backend-api/src/modules/payment/payment-intent.service.ts
 src/backend-api/test/checkout-flow.e2e-spec.ts</t>
  </si>
  <si>
    <t>Khóa được lưu duy nhất theo user + endpoint + Idempotency-Key kèm request hash. Lần đầu xử lý và lưu status/body; 4 lần sau replay đúng response, không thêm payment hay gọi provider lại. Cùng khóa nhưng body khác trả 409.</t>
  </si>
  <si>
    <t>BP13/IM15</t>
  </si>
  <si>
    <t>Caching</t>
  </si>
  <si>
    <t>TTL thông tin concert và số vé khác nhau ra sao? Khi bán thành công invalidate thế nào?</t>
  </si>
  <si>
    <t>src/backend-api/src/common/cache/cache.service.ts
 src/backend-api/src/common/cache/cache-invalidation.service.ts
 src/backend-api/src/common/cache/cache.service.spec.ts</t>
  </si>
  <si>
    <t>Concert list/detail mặc định TTL 60 giây, inventory summary 5 giây, có jitter 15%. Admin cập nhật, reservation thay đổi/hết hạn và payment thành công sẽ xóa key liên quan. Inventory cache chỉ để hiển thị; quyết định bán vẫn đọc PostgreSQL trong transaction.</t>
  </si>
  <si>
    <t>Giới hạn vé/user</t>
  </si>
  <si>
    <t>Hai request đồng thời từ cùng tài khoản có thể vượt limit không? Test chứng minh?</t>
  </si>
  <si>
    <t>src/backend-api/src/modules/inventory/inventory.repository.ts
 src/backend-api/test/checkout-flow.e2e-spec.ts — concurrent quota test</t>
  </si>
  <si>
    <t>Không. Cả hai request phải khóa cùng dòng user_ticket_quotas trong transaction; code tính paidCount + reservedCount + quantity rồi so với perUserLimit. Test concurrent reservation trong checkout-flow.e2e-spec.ts chứng minh tổng vé không vượt quota.</t>
  </si>
  <si>
    <t>Tranh chấp vé</t>
  </si>
  <si>
    <t>Hai người mua vé cuối cùng cùng lúc: code nào quyết định người thắng?</t>
  </si>
  <si>
    <t>src/backend-api/src/modules/inventory/inventory.repository.ts
 src/backend-api/test/checkout-flow.e2e-spec.ts — last-ticket contention</t>
  </si>
  <si>
    <t>inventory.repository.ts khóa dòng inventory_counters bằng SELECT ... FOR UPDATE. Request vào trước thấy còn 1 vé, tạo reservation và tăng reservedCount; request sau đọc lại availableQuantity = 0 và nhận 409 sold_out. Test last-ticket contention chạy hai request song song để xác nhận.</t>
  </si>
  <si>
    <t>Offline check-in</t>
  </si>
  <si>
    <t>Hai thiết bị offline quét cùng QR thì xử lý xung đột khi đồng bộ thế nào?</t>
  </si>
  <si>
    <t>src/backend-api/src/modules/scanner/scanner.repository.ts
 src/backend-api/test/scanner-check-in-sync.e2e-spec.ts
 src/scanner-pwa/src/lib/scanner/state.tsx</t>
  </si>
  <si>
    <t>Mỗi lần quét được lưu offline với clientEventId UUID rồi đẩy batch khi có mạng. Backend dùng serializable transaction và advisory lock theo eventId + ticketRef: bản ghi đầu accepted, bản ghi sau conflict/ticket_already_checked_in; retry cùng clientEventId chỉ replay kết quả cũ.</t>
  </si>
  <si>
    <t>AI Artist Bio</t>
  </si>
  <si>
    <t>Pipeline đọc PDF, làm sạch, prompt/model và xử lý PDF lỗi/hallucination thế nào?</t>
  </si>
  <si>
    <t>src/backend-api/src/modules/artist-bio/artist-bio-processor.service.ts
 artist-bio-pdf.util.ts; artist-bio.module.ts
 artist-bio-processor.service.spec.ts</t>
  </si>
  <si>
    <t>PDF được lưu rồi tạo durable job; worker extract text, sanitize và từ chối nếu dưới 40 ký tự. Có API key thì dùng Gemini 2.5 Flash, thiếu/lỗi thì fallback mock; lưu model/prompt version và chỉ tạo draft để organizer review/publish, nên AI không tự ghi đè nội dung công khai.</t>
  </si>
  <si>
    <t>CSV Guest List</t>
  </si>
  <si>
    <t>File nhập lại lần hai có tạo khách trùng không? Dòng lỗi được xử lý/báo cáo ra sao?</t>
  </si>
  <si>
    <t>src/backend-api/src/modules/guest-list/guest-list-import.service.ts
 guest-list-csv.util.ts
 guest-list-import.service.spec.ts; guest-list-csv.util.spec.ts</t>
  </si>
  <si>
    <t>SHA-256 checksum + concert + schemaVersion làm import idempotent, nên tải lại đúng file trả batch cũ. CSV được staging, chuẩn hóa email/phone/sponsor, phát hiện trùng trong file và với bản active; dòng lỗi lưu rowNumber/errorReason và không publish version nếu còn lỗi.</t>
  </si>
  <si>
    <t>Thông báo</t>
  </si>
  <si>
    <t>Muốn thêm Zalo OA mà không sửa logic mua vé thì mở rộng ở đâu?</t>
  </si>
  <si>
    <t>src/backend-api/src/modules/notification/adapters/notification-channel.adapter.ts
 notification.service.ts
 notification-worker.service.ts; notification.service.spec.ts</t>
  </si>
  <si>
    <t>Thêm Zalo OA bằng một adapter mới implement NotificationChannelAdapter và đăng ký channel trong NotificationModule. Logic mua vé chỉ tạo notification record với idempotency key; worker chọn adapter để gửi, nên lỗi Zalo không rollback order/ticket.</t>
  </si>
  <si>
    <t>IM16/IM18</t>
  </si>
  <si>
    <t>Khởi chạy</t>
  </si>
  <si>
    <t>Máy mới clone repo cần các lệnh nào? Cách chứng minh hệ thống chạy đầy đủ?</t>
  </si>
  <si>
    <t>src/backend-api/README.md; src/backend-api/docker-compose.yml
 src/*/package.json; src/scanner-pwa/README.md
 backend test:e2e; scanner-pwa scripts/verify-*</t>
  </si>
  <si>
    <t>Máy mới cài pnpm, vào src/backend-api chạy pnpm install, docker compose up -d, pnpm prisma:deploy, pnpm seed và pnpm start:dev; các web/PWA cài dependency rồi pnpm dev, mobile dùng pnpm start. Chứng minh bằng health/UI và chạy backend test:e2e cùng các script verify:* của scanner-pwa.</t>
  </si>
  <si>
    <t>SB01-SB05</t>
  </si>
  <si>
    <t>Mở Drive ở chế độ ẩn danh; chỉ ra Blueprint, src/data/README và clips.</t>
  </si>
  <si>
    <r>
      <rPr>
        <rFont val="Calibri, sans-serif"/>
        <color rgb="FFFF0000"/>
      </rPr>
      <t xml:space="preserve">[BỔ SUNG] </t>
    </r>
    <r>
      <rPr>
        <rFont val="Calibri, sans-serif"/>
        <color rgb="FF000000"/>
      </rPr>
      <t>Link Google Drive public
 blueprint/; src/; README.md
 [BỔ SUNG] data/; clips/; file mã-nhóm_mssv....txt</t>
    </r>
  </si>
  <si>
    <t>Mở link Drive bằng cửa sổ ẩn danh và kiểm tra quyền xem. Chỉ lần lượt blueprint/, từng thư mục src/*, README và clips/video demo; đối chiếu checklist SB01-SB05. Nếu data hoặc clips chưa có trong gói nộp thì bổ sung trước hạn và kiểm tra lại link.</t>
  </si>
  <si>
    <t>TỔNG HỢP ĐÓNG GÓP CÁ NHÂN — PHỤC VỤ GIẢNG VIÊN VẤN ĐÁP</t>
  </si>
  <si>
    <t>Không sửa các ô màu xám. Phần bên dưới hiển thị rõ % hoàn thành đồ án theo checklist. Điểm/hệ số cá nhân chỉ là tín hiệu tham khảo; giảng viên quyết định sau khi kiểm tra minh chứng và vấn đáp.</t>
  </si>
  <si>
    <t>MSSV</t>
  </si>
  <si>
    <t>Số task</t>
  </si>
  <si>
    <t>Task chính</t>
  </si>
  <si>
    <t>Tỷ trọng task</t>
  </si>
  <si>
    <t>Tự ĐG TB</t>
  </si>
  <si>
    <t>ĐG chéo TB</t>
  </si>
  <si>
    <t>Số minh chứng</t>
  </si>
  <si>
    <t>Yêu cầu làm owner</t>
  </si>
  <si>
    <t>Hệ số tham khảo</t>
  </si>
  <si>
    <t>Cảnh báo</t>
  </si>
  <si>
    <t>TIẾN ĐỘ ĐỒ ÁN</t>
  </si>
  <si>
    <t>TIẾN ĐỘ TỰ KHAI BÁO</t>
  </si>
  <si>
    <t>Chỉ số</t>
  </si>
  <si>
    <t>Cách tính/ý nghĩa</t>
  </si>
  <si>
    <t>Tổng yêu cầu áp dụng</t>
  </si>
  <si>
    <t>Tổng số dòng yêu cầu, không tính mục được chọn “Không áp dụng”.</t>
  </si>
  <si>
    <t>Số yêu cầu hoàn thành 100%</t>
  </si>
  <si>
    <t>Số mục có trạng thái “Hoàn thành”.</t>
  </si>
  <si>
    <t>Tỷ lệ yêu cầu hoàn thành 100%</t>
  </si>
  <si>
    <t>Số mục “Hoàn thành” chia tổng yêu cầu áp dụng.</t>
  </si>
  <si>
    <t>Tỷ lệ tự kiểm tra đạt</t>
  </si>
  <si>
    <t>Số mục có kết quả tự kiểm tra “Đạt” chia tổng yêu cầu áp dụng.</t>
  </si>
  <si>
    <t>Tỷ lệ có minh chứng</t>
  </si>
  <si>
    <t>Số mục có link/path minh chứng chia tổng yêu cầu áp dụng.</t>
  </si>
  <si>
    <t>Tỷ lệ hoàn thành đủ minh chứng</t>
  </si>
  <si>
    <t>Chỉ tính mục đồng thời: Hoàn thành + Đạt + có minh chứng.</t>
  </si>
  <si>
    <t>Số yêu cầu chưa hoàn thành</t>
  </si>
  <si>
    <t>Các yêu cầu áp dụng nhưng chưa có trạng thái “Hoàn thành”.</t>
  </si>
  <si>
    <t>Số mục không áp dụng</t>
  </si>
  <si>
    <t>Các mục được nhóm xác định không áp dụng; tự động loại khỏi mẫu số.</t>
  </si>
  <si>
    <t>Cách đọc: “Tiến độ tự khai báo” phản ánh mức hoàn thành trung bình do nhóm nhập ở cột % HT. Giảng viên nên ưu tiên “Hoàn thành đủ minh chứng” vì chỉ tính các yêu cầu đã hoàn thành, tự kiểm tra đạt và có minh chứng để mở khi vấn đáp.</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</si>
</sst>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
    <numFmt numFmtId="166" formatCode="0&quot;%&quot;"/>
  </numFmts>
  <fonts count="15">
    <font>
      <sz val="11.0"/>
      <color rgb="FF000000"/>
      <name val="Carlito"/>
      <scheme val="minor"/>
    </font>
    <font>
      <b/>
      <sz val="10.0"/>
      <color rgb="FFFFFFFF"/>
      <name val="Calibri"/>
    </font>
    <font/>
    <font>
      <sz val="10.0"/>
      <color theme="1"/>
      <name val="Calibri"/>
    </font>
    <font>
      <b/>
      <sz val="10.0"/>
      <color theme="1"/>
      <name val="Calibri"/>
    </font>
    <font>
      <b/>
      <sz val="10.0"/>
      <color rgb="FF1F4E78"/>
      <name val="Calibri"/>
    </font>
    <font>
      <b/>
      <sz val="9.0"/>
      <color rgb="FFFFFFFF"/>
      <name val="Calibri"/>
    </font>
    <font>
      <b/>
      <sz val="12.0"/>
      <color rgb="FF1F4E78"/>
      <name val="Calibri"/>
    </font>
    <font>
      <i/>
      <sz val="9.0"/>
      <color rgb="FF333333"/>
      <name val="Calibri"/>
    </font>
    <font>
      <color rgb="FF000000"/>
      <name val="Calibri"/>
    </font>
    <font>
      <u/>
      <color rgb="FF000000"/>
      <name val="Calibri"/>
    </font>
    <font>
      <b/>
      <sz val="24.0"/>
      <color rgb="FF1F4E78"/>
      <name val="Calibri"/>
    </font>
    <font>
      <b/>
      <sz val="24.0"/>
      <color rgb="FF375623"/>
      <name val="Calibri"/>
    </font>
    <font>
      <b/>
      <sz val="10.0"/>
      <color rgb="FF333333"/>
      <name val="Calibri"/>
    </font>
    <font>
      <i/>
      <sz val="10.0"/>
      <color rgb="FF333333"/>
      <name val="Calibri"/>
    </font>
  </fonts>
  <fills count="12">
    <fill>
      <patternFill patternType="none"/>
    </fill>
    <fill>
      <patternFill patternType="lightGray"/>
    </fill>
    <fill>
      <patternFill patternType="solid">
        <fgColor rgb="FF1F4E78"/>
        <bgColor rgb="FF1F4E78"/>
      </patternFill>
    </fill>
    <fill>
      <patternFill patternType="solid">
        <fgColor rgb="FF5B9BD5"/>
        <bgColor rgb="FF5B9BD5"/>
      </patternFill>
    </fill>
    <fill>
      <patternFill patternType="solid">
        <fgColor rgb="FFE2F0D9"/>
        <bgColor rgb="FFE2F0D9"/>
      </patternFill>
    </fill>
    <fill>
      <patternFill patternType="solid">
        <fgColor rgb="FFD9EAF7"/>
        <bgColor rgb="FFD9EAF7"/>
      </patternFill>
    </fill>
    <fill>
      <patternFill patternType="solid">
        <fgColor rgb="FFFFF2CC"/>
        <bgColor rgb="FFFFF2CC"/>
      </patternFill>
    </fill>
    <fill>
      <patternFill patternType="solid">
        <fgColor rgb="FFE7E6E6"/>
        <bgColor rgb="FFE7E6E6"/>
      </patternFill>
    </fill>
    <fill>
      <patternFill patternType="solid">
        <fgColor rgb="FFFCE4D6"/>
        <bgColor rgb="FFFCE4D6"/>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s>
  <borders count="13">
    <border/>
    <border>
      <left/>
      <top/>
      <bottom/>
    </border>
    <border>
      <top/>
      <bottom/>
    </border>
    <border>
      <right/>
      <top/>
      <bottom/>
    </border>
    <border>
      <left/>
      <right/>
      <top/>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4" fillId="3" fontId="1" numFmtId="0" xfId="0" applyAlignment="1" applyBorder="1" applyFill="1" applyFont="1">
      <alignment horizontal="center" shrinkToFit="0" vertical="center" wrapText="1"/>
    </xf>
    <xf borderId="0" fillId="0" fontId="3" numFmtId="0" xfId="0" applyAlignment="1" applyFont="1">
      <alignment shrinkToFit="0" vertical="top" wrapText="1"/>
    </xf>
    <xf borderId="1" fillId="4" fontId="4" numFmtId="0" xfId="0" applyAlignment="1" applyBorder="1" applyFill="1" applyFont="1">
      <alignment shrinkToFit="0" wrapText="1"/>
    </xf>
    <xf borderId="0" fillId="0" fontId="3" numFmtId="0" xfId="0" applyAlignment="1" applyFont="1">
      <alignment horizontal="center" shrinkToFit="0" vertical="top" wrapText="1"/>
    </xf>
    <xf borderId="0" fillId="0" fontId="3" numFmtId="0" xfId="0" applyAlignment="1" applyFont="1">
      <alignment readingOrder="0"/>
    </xf>
    <xf borderId="1" fillId="5" fontId="5" numFmtId="0" xfId="0" applyAlignment="1" applyBorder="1" applyFill="1" applyFont="1">
      <alignment vertical="center"/>
    </xf>
    <xf borderId="4" fillId="6" fontId="4" numFmtId="0" xfId="0" applyAlignment="1" applyBorder="1" applyFill="1" applyFont="1">
      <alignment shrinkToFit="0" vertical="top" wrapText="1"/>
    </xf>
    <xf borderId="4" fillId="7" fontId="4" numFmtId="0" xfId="0" applyAlignment="1" applyBorder="1" applyFill="1" applyFont="1">
      <alignment shrinkToFit="0" vertical="top" wrapText="1"/>
    </xf>
    <xf borderId="4" fillId="4" fontId="4" numFmtId="0" xfId="0" applyAlignment="1" applyBorder="1" applyFont="1">
      <alignment shrinkToFit="0" vertical="top" wrapText="1"/>
    </xf>
    <xf borderId="4" fillId="8" fontId="4" numFmtId="0" xfId="0" applyAlignment="1" applyBorder="1" applyFill="1" applyFont="1">
      <alignment shrinkToFit="0" vertical="top" wrapText="1"/>
    </xf>
    <xf borderId="4" fillId="5" fontId="4" numFmtId="0" xfId="0" applyAlignment="1" applyBorder="1" applyFont="1">
      <alignment shrinkToFit="0" wrapText="1"/>
    </xf>
    <xf borderId="4" fillId="6" fontId="3" numFmtId="0" xfId="0" applyAlignment="1" applyBorder="1" applyFont="1">
      <alignment shrinkToFit="0" vertical="top" wrapText="1"/>
    </xf>
    <xf borderId="4" fillId="6" fontId="3" numFmtId="0" xfId="0" applyAlignment="1" applyBorder="1" applyFont="1">
      <alignment readingOrder="0" shrinkToFit="0" vertical="top" wrapText="1"/>
    </xf>
    <xf borderId="4" fillId="6" fontId="3" numFmtId="164" xfId="0" applyAlignment="1" applyBorder="1" applyFont="1" applyNumberFormat="1">
      <alignment shrinkToFit="0" vertical="top" wrapText="1"/>
    </xf>
    <xf borderId="4" fillId="7" fontId="3" numFmtId="0" xfId="0" applyAlignment="1" applyBorder="1" applyFont="1">
      <alignment shrinkToFit="0" vertical="top" wrapText="1"/>
    </xf>
    <xf borderId="1" fillId="6" fontId="3" numFmtId="0" xfId="0" applyAlignment="1" applyBorder="1" applyFont="1">
      <alignment shrinkToFit="0" vertical="top" wrapText="1"/>
    </xf>
    <xf borderId="5" fillId="8" fontId="4" numFmtId="0" xfId="0" applyAlignment="1" applyBorder="1" applyFont="1">
      <alignment shrinkToFit="0"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2" fontId="6" numFmtId="0" xfId="0" applyAlignment="1" applyBorder="1" applyFont="1">
      <alignment horizontal="center" shrinkToFit="0" vertical="center" wrapText="1"/>
    </xf>
    <xf borderId="4" fillId="5" fontId="7" numFmtId="165" xfId="0" applyAlignment="1" applyBorder="1" applyFont="1" applyNumberFormat="1">
      <alignment horizontal="center" vertical="center"/>
    </xf>
    <xf borderId="4" fillId="7" fontId="8" numFmtId="0" xfId="0" applyAlignment="1" applyBorder="1" applyFont="1">
      <alignment horizontal="center" shrinkToFit="0" vertical="center" wrapText="1"/>
    </xf>
    <xf borderId="0" fillId="6" fontId="9" numFmtId="0" xfId="0" applyAlignment="1" applyFont="1">
      <alignment readingOrder="0" vertical="top"/>
    </xf>
    <xf borderId="0" fillId="4" fontId="9" numFmtId="0" xfId="0" applyAlignment="1" applyFont="1">
      <alignment readingOrder="0" vertical="top"/>
    </xf>
    <xf borderId="0" fillId="6" fontId="9" numFmtId="166" xfId="0" applyAlignment="1" applyFont="1" applyNumberFormat="1">
      <alignment horizontal="right" readingOrder="0" vertical="top"/>
    </xf>
    <xf borderId="0" fillId="9" fontId="3" numFmtId="0" xfId="0" applyAlignment="1" applyFill="1" applyFont="1">
      <alignment shrinkToFit="0" vertical="top" wrapText="1"/>
    </xf>
    <xf borderId="0" fillId="10" fontId="3" numFmtId="0" xfId="0" applyAlignment="1" applyFill="1" applyFont="1">
      <alignment shrinkToFit="0" vertical="top" wrapText="1"/>
    </xf>
    <xf borderId="0" fillId="8" fontId="9" numFmtId="0" xfId="0" applyAlignment="1" applyFont="1">
      <alignment readingOrder="0" vertical="top"/>
    </xf>
    <xf borderId="0" fillId="6" fontId="9" numFmtId="0" xfId="0" applyAlignment="1" applyFont="1">
      <alignment horizontal="right" readingOrder="0" vertical="top"/>
    </xf>
    <xf borderId="0" fillId="7" fontId="9" numFmtId="2" xfId="0" applyAlignment="1" applyFont="1" applyNumberFormat="1">
      <alignment horizontal="right" readingOrder="0" vertical="top"/>
    </xf>
    <xf borderId="0" fillId="0" fontId="9" numFmtId="0" xfId="0" applyAlignment="1" applyFont="1">
      <alignment horizontal="right" readingOrder="0" vertical="top"/>
    </xf>
    <xf borderId="0" fillId="7" fontId="9" numFmtId="0" xfId="0" applyAlignment="1" applyFont="1">
      <alignment readingOrder="0" vertical="top"/>
    </xf>
    <xf borderId="0" fillId="6" fontId="9" numFmtId="0" xfId="0" applyAlignment="1" applyFont="1">
      <alignment readingOrder="0" shrinkToFit="0" vertical="top" wrapText="1"/>
    </xf>
    <xf borderId="0" fillId="6" fontId="9" numFmtId="9" xfId="0" applyAlignment="1" applyFont="1" applyNumberFormat="1">
      <alignment horizontal="right" readingOrder="0" vertical="top"/>
    </xf>
    <xf borderId="0" fillId="6" fontId="10" numFmtId="0" xfId="0" applyAlignment="1" applyFont="1">
      <alignment readingOrder="0" vertical="top"/>
    </xf>
    <xf borderId="0" fillId="6" fontId="9" numFmtId="164" xfId="0" applyAlignment="1" applyFont="1" applyNumberFormat="1">
      <alignment horizontal="right" readingOrder="0" vertical="top"/>
    </xf>
    <xf borderId="0" fillId="6" fontId="9" numFmtId="0" xfId="0" applyAlignment="1" applyFont="1">
      <alignment vertical="top"/>
    </xf>
    <xf borderId="0" fillId="0" fontId="9" numFmtId="0" xfId="0" applyAlignment="1" applyFont="1">
      <alignment readingOrder="0" vertical="top"/>
    </xf>
    <xf borderId="1" fillId="8" fontId="4" numFmtId="0" xfId="0" applyAlignment="1" applyBorder="1" applyFont="1">
      <alignment shrinkToFit="0" wrapText="1"/>
    </xf>
    <xf borderId="4" fillId="7" fontId="3" numFmtId="2" xfId="0" applyAlignment="1" applyBorder="1" applyFont="1" applyNumberFormat="1">
      <alignment shrinkToFit="0" vertical="top" wrapText="1"/>
    </xf>
    <xf borderId="4" fillId="7" fontId="3" numFmtId="165" xfId="0" applyAlignment="1" applyBorder="1" applyFont="1" applyNumberFormat="1">
      <alignment shrinkToFit="0" vertical="top" wrapText="1"/>
    </xf>
    <xf borderId="1" fillId="5" fontId="7" numFmtId="0" xfId="0" applyAlignment="1" applyBorder="1" applyFont="1">
      <alignment horizontal="center" vertical="center"/>
    </xf>
    <xf borderId="1" fillId="2" fontId="1" numFmtId="0" xfId="0" applyAlignment="1" applyBorder="1" applyFont="1">
      <alignment horizontal="center" shrinkToFit="0" vertical="center" wrapText="1"/>
    </xf>
    <xf borderId="5" fillId="5" fontId="11" numFmtId="165" xfId="0" applyAlignment="1" applyBorder="1" applyFont="1" applyNumberFormat="1">
      <alignment horizontal="center" shrinkToFit="0" vertical="center" wrapText="1"/>
    </xf>
    <xf borderId="5" fillId="4" fontId="12" numFmtId="165" xfId="0" applyAlignment="1" applyBorder="1" applyFont="1" applyNumberFormat="1">
      <alignment horizontal="center" vertical="center"/>
    </xf>
    <xf borderId="1" fillId="3" fontId="1"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7" fontId="13" numFmtId="0" xfId="0" applyAlignment="1" applyBorder="1" applyFont="1">
      <alignment horizontal="center" vertical="center"/>
    </xf>
    <xf borderId="1" fillId="11" fontId="3" numFmtId="0" xfId="0" applyAlignment="1" applyBorder="1" applyFill="1" applyFont="1">
      <alignment shrinkToFit="0" vertical="center" wrapText="1"/>
    </xf>
    <xf borderId="4" fillId="7" fontId="13" numFmtId="165" xfId="0" applyAlignment="1" applyBorder="1" applyFont="1" applyNumberFormat="1">
      <alignment horizontal="center" vertical="center"/>
    </xf>
    <xf borderId="5" fillId="6" fontId="14" numFmtId="0" xfId="0" applyAlignment="1" applyBorder="1" applyFont="1">
      <alignment shrinkToFit="0" vertical="center" wrapText="1"/>
    </xf>
  </cellXfs>
  <cellStyles count="1">
    <cellStyle xfId="0" name="Normal" builtinId="0"/>
  </cellStyles>
  <dxfs count="3">
    <dxf>
      <font/>
      <fill>
        <patternFill patternType="solid">
          <fgColor rgb="FFFCE4D6"/>
          <bgColor rgb="FFFCE4D6"/>
        </patternFill>
      </fill>
      <border/>
    </dxf>
    <dxf>
      <font/>
      <fill>
        <patternFill patternType="solid">
          <fgColor rgb="FFFFF2CC"/>
          <bgColor rgb="FFFFF2CC"/>
        </patternFill>
      </fill>
      <border/>
    </dxf>
    <dxf>
      <font/>
      <fill>
        <patternFill patternType="solid">
          <fgColor rgb="FFE2F0D9"/>
          <bgColor rgb="FFE2F0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Điểm công việc theo thành viên</a:t>
            </a:r>
          </a:p>
        </c:rich>
      </c:tx>
      <c:overlay val="0"/>
    </c:title>
    <c:plotArea>
      <c:layout/>
      <c:barChart>
        <c:barDir val="col"/>
        <c:ser>
          <c:idx val="0"/>
          <c:order val="0"/>
          <c:tx>
            <c:v>Điểm công việc</c:v>
          </c:tx>
          <c:spPr>
            <a:solidFill>
              <a:schemeClr val="accent1"/>
            </a:solidFill>
            <a:ln cmpd="sng">
              <a:noFill/>
            </a:ln>
          </c:spPr>
          <c:cat>
            <c:strRef>
              <c:f>'08_TongHopGV'!$B$6:$B$9</c:f>
            </c:strRef>
          </c:cat>
          <c:val>
            <c:numRef>
              <c:f>'08_TongHopGV'!$F$6:$F$9</c:f>
              <c:numCache/>
            </c:numRef>
          </c:val>
        </c:ser>
        <c:axId val="2129459074"/>
        <c:axId val="936160486"/>
      </c:barChart>
      <c:catAx>
        <c:axId val="21294590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36160486"/>
      </c:catAx>
      <c:valAx>
        <c:axId val="9361604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9459074"/>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11</xdr:row>
      <xdr:rowOff>0</xdr:rowOff>
    </xdr:from>
    <xdr:ext cx="9829800" cy="3143250"/>
    <xdr:graphicFrame>
      <xdr:nvGraphicFramePr>
        <xdr:cNvPr id="98476683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github.com/Toanapr/ticket-box/blob/dev/blueprint/core-design-decisions/unstable-payment-gateway.md" TargetMode="External"/><Relationship Id="rId10" Type="http://schemas.openxmlformats.org/officeDocument/2006/relationships/hyperlink" Target="https://github.com/Toanapr/ticket-box/blob/dev/blueprint/core-design-decisions/sale-traffic-spike.md" TargetMode="External"/><Relationship Id="rId13" Type="http://schemas.openxmlformats.org/officeDocument/2006/relationships/hyperlink" Target="https://github.com/Toanapr/ticket-box/blob/dev/blueprint/core-design-decisions/high-read-traffic.md" TargetMode="External"/><Relationship Id="rId12" Type="http://schemas.openxmlformats.org/officeDocument/2006/relationships/hyperlink" Target="https://github.com/Toanapr/ticket-box/blob/dev/blueprint/core-design-decisions/unstable-payment-gateway.md" TargetMode="External"/><Relationship Id="rId1" Type="http://schemas.openxmlformats.org/officeDocument/2006/relationships/hyperlink" Target="https://github.com/Toanapr/ticket-box/blob/dev/blueprint/01-system-design.md" TargetMode="External"/><Relationship Id="rId2" Type="http://schemas.openxmlformats.org/officeDocument/2006/relationships/hyperlink" Target="https://github.com/Toanapr/ticket-box/blob/dev/blueprint/02-c4-diagrams.md" TargetMode="External"/><Relationship Id="rId3" Type="http://schemas.openxmlformats.org/officeDocument/2006/relationships/hyperlink" Target="https://github.com/Toanapr/ticket-box/blob/dev/blueprint/02-c4-diagrams.md" TargetMode="External"/><Relationship Id="rId4" Type="http://schemas.openxmlformats.org/officeDocument/2006/relationships/hyperlink" Target="https://github.com/Toanapr/ticket-box/blob/dev/blueprint/03-high-level-architecture.md" TargetMode="External"/><Relationship Id="rId9" Type="http://schemas.openxmlformats.org/officeDocument/2006/relationships/hyperlink" Target="https://github.com/Toanapr/ticket-box/blob/dev/blueprint/06-access-control.md" TargetMode="External"/><Relationship Id="rId15" Type="http://schemas.openxmlformats.org/officeDocument/2006/relationships/hyperlink" Target="https://github.com/Toanapr/ticket-box/tree/dev/blueprint/specs" TargetMode="External"/><Relationship Id="rId14" Type="http://schemas.openxmlformats.org/officeDocument/2006/relationships/hyperlink" Target="https://github.com/Toanapr/ticket-box/tree/dev/blueprint/core-design-decisions" TargetMode="External"/><Relationship Id="rId17" Type="http://schemas.openxmlformats.org/officeDocument/2006/relationships/hyperlink" Target="https://github.com/Toanapr/ticket-box/pull/33" TargetMode="External"/><Relationship Id="rId16" Type="http://schemas.openxmlformats.org/officeDocument/2006/relationships/hyperlink" Target="https://github.com/Toanapr/ticket-box/pull/22" TargetMode="External"/><Relationship Id="rId5" Type="http://schemas.openxmlformats.org/officeDocument/2006/relationships/hyperlink" Target="https://github.com/Toanapr/ticket-box/blob/dev/blueprint/04-database-design.md" TargetMode="External"/><Relationship Id="rId19" Type="http://schemas.openxmlformats.org/officeDocument/2006/relationships/drawing" Target="../drawings/drawing8.xml"/><Relationship Id="rId6" Type="http://schemas.openxmlformats.org/officeDocument/2006/relationships/hyperlink" Target="https://github.com/Toanapr/ticket-box/blob/dev/blueprint/05-business-flows.md" TargetMode="External"/><Relationship Id="rId18" Type="http://schemas.openxmlformats.org/officeDocument/2006/relationships/hyperlink" Target="https://github.com/Toanapr/ticket-box/blob/dev/src/backend-api/prisma/seed.js" TargetMode="External"/><Relationship Id="rId7" Type="http://schemas.openxmlformats.org/officeDocument/2006/relationships/hyperlink" Target="https://github.com/Toanapr/ticket-box/blob/dev/blueprint/core-design-decisions/offline-check-in.md" TargetMode="External"/><Relationship Id="rId8" Type="http://schemas.openxmlformats.org/officeDocument/2006/relationships/hyperlink" Target="https://github.com/Toanapr/ticket-box/blob/dev/blueprint/core-design-decisions/guest-list-csv-import.md"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24.0"/>
    <col customWidth="1" min="11" max="26" width="8.63"/>
  </cols>
  <sheetData>
    <row r="1" ht="15.0" customHeight="1">
      <c r="A1" s="1" t="s">
        <v>0</v>
      </c>
      <c r="B1" s="2"/>
      <c r="C1" s="2"/>
      <c r="D1" s="2"/>
      <c r="E1" s="2"/>
      <c r="F1" s="2"/>
      <c r="G1" s="2"/>
      <c r="H1" s="2"/>
      <c r="I1" s="2"/>
      <c r="J1" s="3"/>
      <c r="K1" s="4"/>
      <c r="L1" s="4"/>
      <c r="M1" s="4"/>
      <c r="N1" s="4"/>
      <c r="O1" s="4"/>
      <c r="P1" s="4"/>
      <c r="Q1" s="4"/>
    </row>
    <row r="2" ht="13.5" customHeight="1">
      <c r="A2" s="5" t="s">
        <v>1</v>
      </c>
      <c r="B2" s="5" t="s">
        <v>2</v>
      </c>
      <c r="C2" s="5" t="s">
        <v>3</v>
      </c>
      <c r="D2" s="5" t="s">
        <v>4</v>
      </c>
      <c r="E2" s="5" t="s">
        <v>5</v>
      </c>
      <c r="F2" s="5" t="s">
        <v>6</v>
      </c>
      <c r="G2" s="5" t="s">
        <v>7</v>
      </c>
      <c r="H2" s="5" t="s">
        <v>8</v>
      </c>
      <c r="I2" s="5" t="s">
        <v>9</v>
      </c>
      <c r="J2" s="5" t="s">
        <v>10</v>
      </c>
      <c r="K2" s="4"/>
      <c r="L2" s="4"/>
      <c r="M2" s="4"/>
      <c r="N2" s="4"/>
      <c r="O2" s="4"/>
      <c r="P2" s="4"/>
      <c r="Q2" s="4"/>
    </row>
    <row r="3" ht="13.5" customHeight="1">
      <c r="A3" s="6" t="s">
        <v>11</v>
      </c>
      <c r="B3" s="6" t="s">
        <v>12</v>
      </c>
      <c r="C3" s="6">
        <v>1.0</v>
      </c>
      <c r="D3" s="6">
        <v>1.0</v>
      </c>
      <c r="E3" s="6" t="s">
        <v>13</v>
      </c>
      <c r="F3" s="6" t="s">
        <v>14</v>
      </c>
      <c r="G3" s="6" t="s">
        <v>15</v>
      </c>
      <c r="H3" s="6" t="s">
        <v>16</v>
      </c>
      <c r="I3" s="6" t="s">
        <v>17</v>
      </c>
      <c r="J3" s="6" t="s">
        <v>18</v>
      </c>
      <c r="K3" s="4"/>
      <c r="L3" s="4"/>
      <c r="M3" s="4"/>
      <c r="N3" s="4"/>
      <c r="O3" s="4"/>
      <c r="P3" s="4"/>
      <c r="Q3" s="4"/>
    </row>
    <row r="4" ht="13.5" customHeight="1">
      <c r="A4" s="6" t="s">
        <v>19</v>
      </c>
      <c r="B4" s="6" t="s">
        <v>20</v>
      </c>
      <c r="C4" s="6">
        <v>2.0</v>
      </c>
      <c r="D4" s="6">
        <v>2.0</v>
      </c>
      <c r="E4" s="6" t="s">
        <v>21</v>
      </c>
      <c r="F4" s="6" t="s">
        <v>22</v>
      </c>
      <c r="G4" s="6" t="s">
        <v>23</v>
      </c>
      <c r="H4" s="6" t="s">
        <v>24</v>
      </c>
      <c r="I4" s="6" t="s">
        <v>25</v>
      </c>
      <c r="J4" s="6" t="s">
        <v>26</v>
      </c>
      <c r="K4" s="4"/>
      <c r="L4" s="4"/>
      <c r="M4" s="4"/>
      <c r="N4" s="4"/>
      <c r="O4" s="4"/>
      <c r="P4" s="4"/>
      <c r="Q4" s="4"/>
    </row>
    <row r="5" ht="13.5" customHeight="1">
      <c r="A5" s="6" t="s">
        <v>27</v>
      </c>
      <c r="B5" s="6" t="s">
        <v>28</v>
      </c>
      <c r="C5" s="6">
        <v>3.0</v>
      </c>
      <c r="D5" s="6">
        <v>3.0</v>
      </c>
      <c r="E5" s="4"/>
      <c r="F5" s="6" t="s">
        <v>29</v>
      </c>
      <c r="G5" s="6" t="s">
        <v>30</v>
      </c>
      <c r="H5" s="6" t="s">
        <v>31</v>
      </c>
      <c r="I5" s="6" t="s">
        <v>32</v>
      </c>
      <c r="J5" s="6" t="s">
        <v>33</v>
      </c>
      <c r="K5" s="4"/>
      <c r="L5" s="4"/>
      <c r="M5" s="4"/>
      <c r="N5" s="4"/>
      <c r="O5" s="4"/>
      <c r="P5" s="4"/>
      <c r="Q5" s="4"/>
    </row>
    <row r="6" ht="13.5" customHeight="1">
      <c r="A6" s="6" t="s">
        <v>34</v>
      </c>
      <c r="B6" s="4"/>
      <c r="C6" s="6">
        <v>4.0</v>
      </c>
      <c r="D6" s="6">
        <v>4.0</v>
      </c>
      <c r="E6" s="4"/>
      <c r="F6" s="6" t="s">
        <v>35</v>
      </c>
      <c r="G6" s="6" t="s">
        <v>36</v>
      </c>
      <c r="H6" s="4"/>
      <c r="I6" s="6" t="s">
        <v>34</v>
      </c>
      <c r="J6" s="4"/>
      <c r="K6" s="4"/>
      <c r="L6" s="4"/>
      <c r="M6" s="4"/>
      <c r="N6" s="4"/>
      <c r="O6" s="4"/>
      <c r="P6" s="4"/>
      <c r="Q6" s="4"/>
    </row>
    <row r="7" ht="13.5" customHeight="1">
      <c r="A7" s="4"/>
      <c r="B7" s="4"/>
      <c r="C7" s="6">
        <v>5.0</v>
      </c>
      <c r="D7" s="6">
        <v>5.0</v>
      </c>
      <c r="E7" s="4"/>
      <c r="F7" s="6" t="s">
        <v>37</v>
      </c>
      <c r="G7" s="6" t="s">
        <v>38</v>
      </c>
      <c r="H7" s="4"/>
      <c r="I7" s="4"/>
      <c r="J7" s="4"/>
      <c r="K7" s="4"/>
      <c r="L7" s="4"/>
      <c r="M7" s="4"/>
      <c r="N7" s="4"/>
      <c r="O7" s="4"/>
      <c r="P7" s="4"/>
      <c r="Q7" s="4"/>
    </row>
    <row r="8" ht="13.5" customHeight="1">
      <c r="A8" s="4"/>
      <c r="B8" s="4"/>
      <c r="C8" s="4"/>
      <c r="D8" s="4"/>
      <c r="E8" s="4"/>
      <c r="F8" s="6" t="s">
        <v>39</v>
      </c>
      <c r="G8" s="4"/>
      <c r="H8" s="4"/>
      <c r="I8" s="4"/>
      <c r="J8" s="4"/>
      <c r="K8" s="4"/>
      <c r="L8" s="4"/>
      <c r="M8" s="4"/>
      <c r="N8" s="4"/>
      <c r="O8" s="4"/>
      <c r="P8" s="4"/>
      <c r="Q8" s="4"/>
    </row>
    <row r="9" ht="13.5" customHeight="1">
      <c r="A9" s="4"/>
      <c r="B9" s="4"/>
      <c r="C9" s="4"/>
      <c r="D9" s="4"/>
      <c r="E9" s="4"/>
      <c r="F9" s="6" t="s">
        <v>40</v>
      </c>
      <c r="G9" s="4"/>
      <c r="H9" s="4"/>
      <c r="I9" s="4"/>
      <c r="J9" s="4"/>
      <c r="K9" s="4"/>
      <c r="L9" s="4"/>
      <c r="M9" s="4"/>
      <c r="N9" s="4"/>
      <c r="O9" s="4"/>
      <c r="P9" s="4"/>
      <c r="Q9" s="4"/>
    </row>
    <row r="10" ht="13.5" customHeight="1">
      <c r="A10" s="4"/>
      <c r="B10" s="4"/>
      <c r="C10" s="4"/>
      <c r="D10" s="4"/>
      <c r="E10" s="4"/>
      <c r="F10" s="6" t="s">
        <v>41</v>
      </c>
      <c r="G10" s="4"/>
      <c r="H10" s="4"/>
      <c r="I10" s="4"/>
      <c r="J10" s="4"/>
      <c r="K10" s="4"/>
      <c r="L10" s="4"/>
      <c r="M10" s="4"/>
      <c r="N10" s="4"/>
      <c r="O10" s="4"/>
      <c r="P10" s="4"/>
      <c r="Q10" s="4"/>
    </row>
    <row r="11" ht="13.5" customHeight="1">
      <c r="A11" s="4"/>
      <c r="B11" s="4"/>
      <c r="C11" s="4"/>
      <c r="D11" s="4"/>
      <c r="E11" s="4"/>
      <c r="F11" s="6" t="s">
        <v>42</v>
      </c>
      <c r="G11" s="4"/>
      <c r="H11" s="4"/>
      <c r="I11" s="4"/>
      <c r="J11" s="4"/>
      <c r="K11" s="4"/>
      <c r="L11" s="4"/>
      <c r="M11" s="4"/>
      <c r="N11" s="4"/>
      <c r="O11" s="4"/>
      <c r="P11" s="4"/>
      <c r="Q11" s="4"/>
    </row>
    <row r="12" ht="13.5" customHeight="1">
      <c r="A12" s="4"/>
      <c r="B12" s="4"/>
      <c r="C12" s="4"/>
      <c r="D12" s="4"/>
      <c r="E12" s="4"/>
      <c r="F12" s="6" t="s">
        <v>43</v>
      </c>
      <c r="G12" s="4"/>
      <c r="H12" s="4"/>
      <c r="I12" s="4"/>
      <c r="J12" s="4"/>
      <c r="K12" s="4"/>
      <c r="L12" s="4"/>
      <c r="M12" s="4"/>
      <c r="N12" s="4"/>
      <c r="O12" s="4"/>
      <c r="P12" s="4"/>
      <c r="Q12" s="4"/>
    </row>
    <row r="13" ht="13.5" customHeight="1">
      <c r="A13" s="4"/>
      <c r="B13" s="4"/>
      <c r="C13" s="4"/>
      <c r="D13" s="4"/>
      <c r="E13" s="4"/>
      <c r="F13" s="4"/>
      <c r="G13" s="4"/>
      <c r="H13" s="4"/>
      <c r="I13" s="4"/>
      <c r="J13" s="4"/>
      <c r="K13" s="4"/>
      <c r="L13" s="4"/>
      <c r="M13" s="4"/>
      <c r="N13" s="4"/>
      <c r="O13" s="4"/>
      <c r="P13" s="4"/>
      <c r="Q13" s="4"/>
    </row>
    <row r="14" ht="13.5" customHeight="1">
      <c r="A14" s="4"/>
      <c r="B14" s="4"/>
      <c r="C14" s="4"/>
      <c r="D14" s="4"/>
      <c r="E14" s="4"/>
      <c r="F14" s="4"/>
      <c r="G14" s="4"/>
      <c r="H14" s="4"/>
      <c r="I14" s="4"/>
      <c r="J14" s="4"/>
      <c r="K14" s="4"/>
      <c r="L14" s="4"/>
      <c r="M14" s="4"/>
      <c r="N14" s="4"/>
      <c r="O14" s="4"/>
      <c r="P14" s="4"/>
      <c r="Q14" s="4"/>
    </row>
    <row r="15" ht="13.5" customHeight="1">
      <c r="A15" s="4"/>
      <c r="B15" s="4"/>
      <c r="C15" s="4"/>
      <c r="D15" s="4"/>
      <c r="E15" s="4"/>
      <c r="F15" s="4"/>
      <c r="G15" s="4"/>
      <c r="H15" s="4"/>
      <c r="I15" s="4"/>
      <c r="J15" s="4"/>
      <c r="K15" s="4"/>
      <c r="L15" s="4"/>
      <c r="M15" s="4"/>
      <c r="N15" s="4"/>
      <c r="O15" s="4"/>
      <c r="P15" s="4"/>
      <c r="Q15" s="4"/>
    </row>
    <row r="16" ht="13.5" customHeight="1">
      <c r="A16" s="4"/>
      <c r="B16" s="4"/>
      <c r="C16" s="4"/>
      <c r="D16" s="4"/>
      <c r="E16" s="4"/>
      <c r="F16" s="4"/>
      <c r="G16" s="4"/>
      <c r="H16" s="4"/>
      <c r="I16" s="4"/>
      <c r="J16" s="4"/>
      <c r="K16" s="4"/>
      <c r="L16" s="4"/>
      <c r="M16" s="4"/>
      <c r="N16" s="4"/>
      <c r="O16" s="4"/>
      <c r="P16" s="4"/>
      <c r="Q16" s="4"/>
    </row>
    <row r="17" ht="13.5" customHeight="1">
      <c r="A17" s="4"/>
      <c r="B17" s="4"/>
      <c r="C17" s="4"/>
      <c r="D17" s="4"/>
      <c r="E17" s="4"/>
      <c r="F17" s="4"/>
      <c r="G17" s="4"/>
      <c r="H17" s="4"/>
      <c r="I17" s="4"/>
      <c r="J17" s="4"/>
      <c r="K17" s="4"/>
      <c r="L17" s="4"/>
      <c r="M17" s="4"/>
      <c r="N17" s="4"/>
      <c r="O17" s="4"/>
      <c r="P17" s="4"/>
      <c r="Q17" s="4"/>
    </row>
    <row r="18" ht="13.5" customHeight="1">
      <c r="A18" s="4"/>
      <c r="B18" s="4"/>
      <c r="C18" s="4"/>
      <c r="D18" s="4"/>
      <c r="E18" s="4"/>
      <c r="F18" s="4"/>
      <c r="G18" s="4"/>
      <c r="H18" s="4"/>
      <c r="I18" s="4"/>
      <c r="J18" s="4"/>
      <c r="K18" s="4"/>
      <c r="L18" s="4"/>
      <c r="M18" s="4"/>
      <c r="N18" s="4"/>
      <c r="O18" s="4"/>
      <c r="P18" s="4"/>
      <c r="Q18" s="4"/>
    </row>
    <row r="19" ht="13.5" customHeight="1">
      <c r="A19" s="4"/>
      <c r="B19" s="4"/>
      <c r="C19" s="4"/>
      <c r="D19" s="4"/>
      <c r="E19" s="4"/>
      <c r="F19" s="4"/>
      <c r="G19" s="4"/>
      <c r="H19" s="4"/>
      <c r="I19" s="4"/>
      <c r="J19" s="4"/>
      <c r="K19" s="4"/>
      <c r="L19" s="4"/>
      <c r="M19" s="4"/>
      <c r="N19" s="4"/>
      <c r="O19" s="4"/>
      <c r="P19" s="4"/>
      <c r="Q19" s="4"/>
    </row>
    <row r="20" ht="13.5" customHeight="1">
      <c r="A20" s="4"/>
      <c r="B20" s="4"/>
      <c r="C20" s="4"/>
      <c r="D20" s="4"/>
      <c r="E20" s="4"/>
      <c r="F20" s="4"/>
      <c r="G20" s="4"/>
      <c r="H20" s="4"/>
      <c r="I20" s="4"/>
      <c r="J20" s="4"/>
      <c r="K20" s="4"/>
      <c r="L20" s="4"/>
      <c r="M20" s="4"/>
      <c r="N20" s="4"/>
      <c r="O20" s="4"/>
      <c r="P20" s="4"/>
      <c r="Q20" s="4"/>
    </row>
    <row r="21" ht="13.5" customHeight="1">
      <c r="A21" s="4"/>
      <c r="B21" s="4"/>
      <c r="C21" s="4"/>
      <c r="D21" s="4"/>
      <c r="E21" s="4"/>
      <c r="F21" s="4"/>
      <c r="G21" s="4"/>
      <c r="H21" s="4"/>
      <c r="I21" s="4"/>
      <c r="J21" s="4"/>
      <c r="K21" s="4"/>
      <c r="L21" s="4"/>
      <c r="M21" s="4"/>
      <c r="N21" s="4"/>
      <c r="O21" s="4"/>
      <c r="P21" s="4"/>
      <c r="Q21" s="4"/>
    </row>
    <row r="22" ht="13.5" customHeight="1">
      <c r="A22" s="4"/>
      <c r="B22" s="4"/>
      <c r="C22" s="4"/>
      <c r="D22" s="4"/>
      <c r="E22" s="4"/>
      <c r="F22" s="4"/>
      <c r="G22" s="4"/>
      <c r="H22" s="4"/>
      <c r="I22" s="4"/>
      <c r="J22" s="4"/>
      <c r="K22" s="4"/>
      <c r="L22" s="4"/>
      <c r="M22" s="4"/>
      <c r="N22" s="4"/>
      <c r="O22" s="4"/>
      <c r="P22" s="4"/>
      <c r="Q22" s="4"/>
    </row>
    <row r="23" ht="13.5" customHeight="1">
      <c r="A23" s="4"/>
      <c r="B23" s="4"/>
      <c r="C23" s="4"/>
      <c r="D23" s="4"/>
      <c r="E23" s="4"/>
      <c r="F23" s="4"/>
      <c r="G23" s="4"/>
      <c r="H23" s="4"/>
      <c r="I23" s="4"/>
      <c r="J23" s="4"/>
      <c r="K23" s="4"/>
      <c r="L23" s="4"/>
      <c r="M23" s="4"/>
      <c r="N23" s="4"/>
      <c r="O23" s="4"/>
      <c r="P23" s="4"/>
      <c r="Q23" s="4"/>
    </row>
    <row r="24" ht="13.5" customHeight="1">
      <c r="A24" s="4"/>
      <c r="B24" s="4"/>
      <c r="C24" s="4"/>
      <c r="D24" s="4"/>
      <c r="E24" s="4"/>
      <c r="F24" s="4"/>
      <c r="G24" s="4"/>
      <c r="H24" s="4"/>
      <c r="I24" s="4"/>
      <c r="J24" s="4"/>
      <c r="K24" s="4"/>
      <c r="L24" s="4"/>
      <c r="M24" s="4"/>
      <c r="N24" s="4"/>
      <c r="O24" s="4"/>
      <c r="P24" s="4"/>
      <c r="Q24" s="4"/>
    </row>
    <row r="25" ht="13.5" customHeight="1">
      <c r="A25" s="4"/>
      <c r="B25" s="4"/>
      <c r="C25" s="4"/>
      <c r="D25" s="4"/>
      <c r="E25" s="4"/>
      <c r="F25" s="4"/>
      <c r="G25" s="4"/>
      <c r="H25" s="4"/>
      <c r="I25" s="4"/>
      <c r="J25" s="4"/>
      <c r="K25" s="4"/>
      <c r="L25" s="4"/>
      <c r="M25" s="4"/>
      <c r="N25" s="4"/>
      <c r="O25" s="4"/>
      <c r="P25" s="4"/>
      <c r="Q25" s="4"/>
    </row>
    <row r="26" ht="13.5" customHeight="1">
      <c r="A26" s="4"/>
      <c r="B26" s="4"/>
      <c r="C26" s="4"/>
      <c r="D26" s="4"/>
      <c r="E26" s="4"/>
      <c r="F26" s="4"/>
      <c r="G26" s="4"/>
      <c r="H26" s="4"/>
      <c r="I26" s="4"/>
      <c r="J26" s="4"/>
      <c r="K26" s="4"/>
      <c r="L26" s="4"/>
      <c r="M26" s="4"/>
      <c r="N26" s="4"/>
      <c r="O26" s="4"/>
      <c r="P26" s="4"/>
      <c r="Q26" s="4"/>
    </row>
    <row r="27" ht="13.5" customHeight="1">
      <c r="A27" s="4"/>
      <c r="B27" s="4"/>
      <c r="C27" s="4"/>
      <c r="D27" s="4"/>
      <c r="E27" s="4"/>
      <c r="F27" s="4"/>
      <c r="G27" s="4"/>
      <c r="H27" s="4"/>
      <c r="I27" s="4"/>
      <c r="J27" s="4"/>
      <c r="K27" s="4"/>
      <c r="L27" s="4"/>
      <c r="M27" s="4"/>
      <c r="N27" s="4"/>
      <c r="O27" s="4"/>
      <c r="P27" s="4"/>
      <c r="Q27" s="4"/>
    </row>
    <row r="28" ht="13.5" customHeight="1">
      <c r="A28" s="4"/>
      <c r="B28" s="4"/>
      <c r="C28" s="4"/>
      <c r="D28" s="4"/>
      <c r="E28" s="4"/>
      <c r="F28" s="4"/>
      <c r="G28" s="4"/>
      <c r="H28" s="4"/>
      <c r="I28" s="4"/>
      <c r="J28" s="4"/>
      <c r="K28" s="4"/>
      <c r="L28" s="4"/>
      <c r="M28" s="4"/>
      <c r="N28" s="4"/>
      <c r="O28" s="4"/>
      <c r="P28" s="4"/>
      <c r="Q28" s="4"/>
    </row>
    <row r="29" ht="13.5" customHeight="1">
      <c r="A29" s="4"/>
      <c r="B29" s="4"/>
      <c r="C29" s="4"/>
      <c r="D29" s="4"/>
      <c r="E29" s="4"/>
      <c r="F29" s="4"/>
      <c r="G29" s="4"/>
      <c r="H29" s="4"/>
      <c r="I29" s="4"/>
      <c r="J29" s="4"/>
      <c r="K29" s="4"/>
      <c r="L29" s="4"/>
      <c r="M29" s="4"/>
      <c r="N29" s="4"/>
      <c r="O29" s="4"/>
      <c r="P29" s="4"/>
      <c r="Q29" s="4"/>
    </row>
    <row r="30" ht="13.5" customHeight="1">
      <c r="A30" s="4"/>
      <c r="B30" s="4"/>
      <c r="C30" s="4"/>
      <c r="D30" s="4"/>
      <c r="E30" s="4"/>
      <c r="F30" s="4"/>
      <c r="G30" s="4"/>
      <c r="H30" s="4"/>
      <c r="I30" s="4"/>
      <c r="J30" s="4"/>
      <c r="K30" s="4"/>
      <c r="L30" s="4"/>
      <c r="M30" s="4"/>
      <c r="N30" s="4"/>
      <c r="O30" s="4"/>
      <c r="P30" s="4"/>
      <c r="Q30" s="4"/>
    </row>
    <row r="31" ht="13.5" customHeight="1">
      <c r="A31" s="4"/>
      <c r="B31" s="4"/>
      <c r="C31" s="4"/>
      <c r="D31" s="4"/>
      <c r="E31" s="4"/>
      <c r="F31" s="4"/>
      <c r="G31" s="4"/>
      <c r="H31" s="4"/>
      <c r="I31" s="4"/>
      <c r="J31" s="4"/>
      <c r="K31" s="4"/>
      <c r="L31" s="4"/>
      <c r="M31" s="4"/>
      <c r="N31" s="4"/>
      <c r="O31" s="4"/>
      <c r="P31" s="4"/>
      <c r="Q31" s="4"/>
    </row>
    <row r="32" ht="13.5" customHeight="1">
      <c r="A32" s="4"/>
      <c r="B32" s="4"/>
      <c r="C32" s="4"/>
      <c r="D32" s="4"/>
      <c r="E32" s="4"/>
      <c r="F32" s="4"/>
      <c r="G32" s="4"/>
      <c r="H32" s="4"/>
      <c r="I32" s="4"/>
      <c r="J32" s="4"/>
      <c r="K32" s="4"/>
      <c r="L32" s="4"/>
      <c r="M32" s="4"/>
      <c r="N32" s="4"/>
      <c r="O32" s="4"/>
      <c r="P32" s="4"/>
      <c r="Q32" s="4"/>
    </row>
    <row r="33" ht="13.5" customHeight="1">
      <c r="A33" s="4"/>
      <c r="B33" s="4"/>
      <c r="C33" s="4"/>
      <c r="D33" s="4"/>
      <c r="E33" s="4"/>
      <c r="F33" s="4"/>
      <c r="G33" s="4"/>
      <c r="H33" s="4"/>
      <c r="I33" s="4"/>
      <c r="J33" s="4"/>
      <c r="K33" s="4"/>
      <c r="L33" s="4"/>
      <c r="M33" s="4"/>
      <c r="N33" s="4"/>
      <c r="O33" s="4"/>
      <c r="P33" s="4"/>
      <c r="Q33" s="4"/>
    </row>
    <row r="34" ht="13.5" customHeight="1">
      <c r="A34" s="4"/>
      <c r="B34" s="4"/>
      <c r="C34" s="4"/>
      <c r="D34" s="4"/>
      <c r="E34" s="4"/>
      <c r="F34" s="4"/>
      <c r="G34" s="4"/>
      <c r="H34" s="4"/>
      <c r="I34" s="4"/>
      <c r="J34" s="4"/>
      <c r="K34" s="4"/>
      <c r="L34" s="4"/>
      <c r="M34" s="4"/>
      <c r="N34" s="4"/>
      <c r="O34" s="4"/>
      <c r="P34" s="4"/>
      <c r="Q34" s="4"/>
    </row>
    <row r="35" ht="13.5" customHeight="1">
      <c r="A35" s="4"/>
      <c r="B35" s="4"/>
      <c r="C35" s="4"/>
      <c r="D35" s="4"/>
      <c r="E35" s="4"/>
      <c r="F35" s="4"/>
      <c r="G35" s="4"/>
      <c r="H35" s="4"/>
      <c r="I35" s="4"/>
      <c r="J35" s="4"/>
      <c r="K35" s="4"/>
      <c r="L35" s="4"/>
      <c r="M35" s="4"/>
      <c r="N35" s="4"/>
      <c r="O35" s="4"/>
      <c r="P35" s="4"/>
      <c r="Q35" s="4"/>
    </row>
    <row r="36" ht="13.5" customHeight="1">
      <c r="A36" s="4"/>
      <c r="B36" s="4"/>
      <c r="C36" s="4"/>
      <c r="D36" s="4"/>
      <c r="E36" s="4"/>
      <c r="F36" s="4"/>
      <c r="G36" s="4"/>
      <c r="H36" s="4"/>
      <c r="I36" s="4"/>
      <c r="J36" s="4"/>
      <c r="K36" s="4"/>
      <c r="L36" s="4"/>
      <c r="M36" s="4"/>
      <c r="N36" s="4"/>
      <c r="O36" s="4"/>
      <c r="P36" s="4"/>
      <c r="Q36" s="4"/>
    </row>
    <row r="37" ht="13.5" customHeight="1">
      <c r="A37" s="4"/>
      <c r="B37" s="4"/>
      <c r="C37" s="4"/>
      <c r="D37" s="4"/>
      <c r="E37" s="4"/>
      <c r="F37" s="4"/>
      <c r="G37" s="4"/>
      <c r="H37" s="4"/>
      <c r="I37" s="4"/>
      <c r="J37" s="4"/>
      <c r="K37" s="4"/>
      <c r="L37" s="4"/>
      <c r="M37" s="4"/>
      <c r="N37" s="4"/>
      <c r="O37" s="4"/>
      <c r="P37" s="4"/>
      <c r="Q37" s="4"/>
    </row>
    <row r="38" ht="13.5" customHeight="1">
      <c r="A38" s="4"/>
      <c r="B38" s="4"/>
      <c r="C38" s="4"/>
      <c r="D38" s="4"/>
      <c r="E38" s="4"/>
      <c r="F38" s="4"/>
      <c r="G38" s="4"/>
      <c r="H38" s="4"/>
      <c r="I38" s="4"/>
      <c r="J38" s="4"/>
      <c r="K38" s="4"/>
      <c r="L38" s="4"/>
      <c r="M38" s="4"/>
      <c r="N38" s="4"/>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c r="A189" s="4"/>
      <c r="B189" s="4"/>
      <c r="C189" s="4"/>
      <c r="D189" s="4"/>
      <c r="E189" s="4"/>
      <c r="F189" s="4"/>
      <c r="G189" s="4"/>
      <c r="H189" s="4"/>
      <c r="I189" s="4"/>
      <c r="J189" s="4"/>
      <c r="K189" s="4"/>
      <c r="L189" s="4"/>
      <c r="M189" s="4"/>
      <c r="N189" s="4"/>
      <c r="O189" s="4"/>
      <c r="P189" s="4"/>
      <c r="Q189" s="4"/>
    </row>
    <row r="190" ht="13.5" customHeight="1">
      <c r="A190" s="4"/>
      <c r="B190" s="4"/>
      <c r="C190" s="4"/>
      <c r="D190" s="4"/>
      <c r="E190" s="4"/>
      <c r="F190" s="4"/>
      <c r="G190" s="4"/>
      <c r="H190" s="4"/>
      <c r="I190" s="4"/>
      <c r="J190" s="4"/>
      <c r="K190" s="4"/>
      <c r="L190" s="4"/>
      <c r="M190" s="4"/>
      <c r="N190" s="4"/>
      <c r="O190" s="4"/>
      <c r="P190" s="4"/>
      <c r="Q190" s="4"/>
    </row>
    <row r="191" ht="13.5" customHeight="1">
      <c r="A191" s="4"/>
      <c r="B191" s="4"/>
      <c r="C191" s="4"/>
      <c r="D191" s="4"/>
      <c r="E191" s="4"/>
      <c r="F191" s="4"/>
      <c r="G191" s="4"/>
      <c r="H191" s="4"/>
      <c r="I191" s="4"/>
      <c r="J191" s="4"/>
      <c r="K191" s="4"/>
      <c r="L191" s="4"/>
      <c r="M191" s="4"/>
      <c r="N191" s="4"/>
      <c r="O191" s="4"/>
      <c r="P191" s="4"/>
      <c r="Q191" s="4"/>
    </row>
    <row r="192" ht="13.5" customHeight="1">
      <c r="A192" s="4"/>
      <c r="B192" s="4"/>
      <c r="C192" s="4"/>
      <c r="D192" s="4"/>
      <c r="E192" s="4"/>
      <c r="F192" s="4"/>
      <c r="G192" s="4"/>
      <c r="H192" s="4"/>
      <c r="I192" s="4"/>
      <c r="J192" s="4"/>
      <c r="K192" s="4"/>
      <c r="L192" s="4"/>
      <c r="M192" s="4"/>
      <c r="N192" s="4"/>
      <c r="O192" s="4"/>
      <c r="P192" s="4"/>
      <c r="Q192" s="4"/>
    </row>
    <row r="193" ht="13.5" customHeight="1">
      <c r="A193" s="4"/>
      <c r="B193" s="4"/>
      <c r="C193" s="4"/>
      <c r="D193" s="4"/>
      <c r="E193" s="4"/>
      <c r="F193" s="4"/>
      <c r="G193" s="4"/>
      <c r="H193" s="4"/>
      <c r="I193" s="4"/>
      <c r="J193" s="4"/>
      <c r="K193" s="4"/>
      <c r="L193" s="4"/>
      <c r="M193" s="4"/>
      <c r="N193" s="4"/>
      <c r="O193" s="4"/>
      <c r="P193" s="4"/>
      <c r="Q193" s="4"/>
    </row>
    <row r="194" ht="13.5" customHeight="1">
      <c r="A194" s="4"/>
      <c r="B194" s="4"/>
      <c r="C194" s="4"/>
      <c r="D194" s="4"/>
      <c r="E194" s="4"/>
      <c r="F194" s="4"/>
      <c r="G194" s="4"/>
      <c r="H194" s="4"/>
      <c r="I194" s="4"/>
      <c r="J194" s="4"/>
      <c r="K194" s="4"/>
      <c r="L194" s="4"/>
      <c r="M194" s="4"/>
      <c r="N194" s="4"/>
      <c r="O194" s="4"/>
      <c r="P194" s="4"/>
      <c r="Q194" s="4"/>
    </row>
    <row r="195" ht="13.5" customHeight="1">
      <c r="A195" s="4"/>
      <c r="B195" s="4"/>
      <c r="C195" s="4"/>
      <c r="D195" s="4"/>
      <c r="E195" s="4"/>
      <c r="F195" s="4"/>
      <c r="G195" s="4"/>
      <c r="H195" s="4"/>
      <c r="I195" s="4"/>
      <c r="J195" s="4"/>
      <c r="K195" s="4"/>
      <c r="L195" s="4"/>
      <c r="M195" s="4"/>
      <c r="N195" s="4"/>
      <c r="O195" s="4"/>
      <c r="P195" s="4"/>
      <c r="Q195" s="4"/>
    </row>
    <row r="196" ht="13.5" customHeight="1">
      <c r="A196" s="4"/>
      <c r="B196" s="4"/>
      <c r="C196" s="4"/>
      <c r="D196" s="4"/>
      <c r="E196" s="4"/>
      <c r="F196" s="4"/>
      <c r="G196" s="4"/>
      <c r="H196" s="4"/>
      <c r="I196" s="4"/>
      <c r="J196" s="4"/>
      <c r="K196" s="4"/>
      <c r="L196" s="4"/>
      <c r="M196" s="4"/>
      <c r="N196" s="4"/>
      <c r="O196" s="4"/>
      <c r="P196" s="4"/>
      <c r="Q196" s="4"/>
    </row>
    <row r="197" ht="13.5" customHeight="1">
      <c r="A197" s="4"/>
      <c r="B197" s="4"/>
      <c r="C197" s="4"/>
      <c r="D197" s="4"/>
      <c r="E197" s="4"/>
      <c r="F197" s="4"/>
      <c r="G197" s="4"/>
      <c r="H197" s="4"/>
      <c r="I197" s="4"/>
      <c r="J197" s="4"/>
      <c r="K197" s="4"/>
      <c r="L197" s="4"/>
      <c r="M197" s="4"/>
      <c r="N197" s="4"/>
      <c r="O197" s="4"/>
      <c r="P197" s="4"/>
      <c r="Q197" s="4"/>
    </row>
    <row r="198" ht="13.5" customHeight="1">
      <c r="A198" s="4"/>
      <c r="B198" s="4"/>
      <c r="C198" s="4"/>
      <c r="D198" s="4"/>
      <c r="E198" s="4"/>
      <c r="F198" s="4"/>
      <c r="G198" s="4"/>
      <c r="H198" s="4"/>
      <c r="I198" s="4"/>
      <c r="J198" s="4"/>
      <c r="K198" s="4"/>
      <c r="L198" s="4"/>
      <c r="M198" s="4"/>
      <c r="N198" s="4"/>
      <c r="O198" s="4"/>
      <c r="P198" s="4"/>
      <c r="Q198" s="4"/>
    </row>
    <row r="199" ht="13.5" customHeight="1">
      <c r="A199" s="4"/>
      <c r="B199" s="4"/>
      <c r="C199" s="4"/>
      <c r="D199" s="4"/>
      <c r="E199" s="4"/>
      <c r="F199" s="4"/>
      <c r="G199" s="4"/>
      <c r="H199" s="4"/>
      <c r="I199" s="4"/>
      <c r="J199" s="4"/>
      <c r="K199" s="4"/>
      <c r="L199" s="4"/>
      <c r="M199" s="4"/>
      <c r="N199" s="4"/>
      <c r="O199" s="4"/>
      <c r="P199" s="4"/>
      <c r="Q199" s="4"/>
    </row>
    <row r="200" ht="13.5" customHeight="1">
      <c r="A200" s="4"/>
      <c r="B200" s="4"/>
      <c r="C200" s="4"/>
      <c r="D200" s="4"/>
      <c r="E200" s="4"/>
      <c r="F200" s="4"/>
      <c r="G200" s="4"/>
      <c r="H200" s="4"/>
      <c r="I200" s="4"/>
      <c r="J200" s="4"/>
      <c r="K200" s="4"/>
      <c r="L200" s="4"/>
      <c r="M200" s="4"/>
      <c r="N200" s="4"/>
      <c r="O200" s="4"/>
      <c r="P200" s="4"/>
      <c r="Q200" s="4"/>
    </row>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J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 width="62.0"/>
    <col customWidth="1" min="4" max="4" width="52.0"/>
    <col customWidth="1" min="5" max="8" width="12.0"/>
    <col customWidth="1" min="9" max="26" width="8.63"/>
  </cols>
  <sheetData>
    <row r="1" ht="15.0" customHeight="1">
      <c r="A1" s="1" t="s">
        <v>44</v>
      </c>
      <c r="B1" s="2"/>
      <c r="C1" s="2"/>
      <c r="D1" s="2"/>
      <c r="E1" s="2"/>
      <c r="F1" s="2"/>
      <c r="G1" s="2"/>
      <c r="H1" s="3"/>
      <c r="I1" s="4"/>
      <c r="J1" s="4"/>
      <c r="K1" s="4"/>
      <c r="L1" s="4"/>
      <c r="M1" s="4"/>
      <c r="N1" s="4"/>
      <c r="O1" s="4"/>
      <c r="P1" s="4"/>
      <c r="Q1" s="4"/>
    </row>
    <row r="2" ht="13.5" customHeight="1">
      <c r="A2" s="4"/>
      <c r="B2" s="4"/>
      <c r="C2" s="4"/>
      <c r="D2" s="4"/>
      <c r="E2" s="4"/>
      <c r="F2" s="4"/>
      <c r="G2" s="4"/>
      <c r="H2" s="4"/>
      <c r="I2" s="4"/>
      <c r="J2" s="4"/>
      <c r="K2" s="4"/>
      <c r="L2" s="4"/>
      <c r="M2" s="4"/>
      <c r="N2" s="4"/>
      <c r="O2" s="4"/>
      <c r="P2" s="4"/>
      <c r="Q2" s="4"/>
    </row>
    <row r="3" ht="21.0" customHeight="1">
      <c r="A3" s="7" t="s">
        <v>45</v>
      </c>
      <c r="B3" s="2"/>
      <c r="C3" s="2"/>
      <c r="D3" s="2"/>
      <c r="E3" s="2"/>
      <c r="F3" s="2"/>
      <c r="G3" s="2"/>
      <c r="H3" s="3"/>
      <c r="I3" s="4"/>
      <c r="J3" s="4"/>
      <c r="K3" s="4"/>
      <c r="L3" s="4"/>
      <c r="M3" s="4"/>
      <c r="N3" s="4"/>
      <c r="O3" s="4"/>
      <c r="P3" s="4"/>
      <c r="Q3" s="4"/>
    </row>
    <row r="4" ht="13.5" customHeight="1">
      <c r="A4" s="4"/>
      <c r="B4" s="4"/>
      <c r="C4" s="4"/>
      <c r="D4" s="4"/>
      <c r="E4" s="4"/>
      <c r="F4" s="4"/>
      <c r="G4" s="4"/>
      <c r="H4" s="4"/>
      <c r="I4" s="4"/>
      <c r="J4" s="4"/>
      <c r="K4" s="4"/>
      <c r="L4" s="4"/>
      <c r="M4" s="4"/>
      <c r="N4" s="4"/>
      <c r="O4" s="4"/>
      <c r="P4" s="4"/>
      <c r="Q4" s="4"/>
    </row>
    <row r="5" ht="13.5" customHeight="1">
      <c r="A5" s="5" t="s">
        <v>46</v>
      </c>
      <c r="B5" s="5" t="s">
        <v>47</v>
      </c>
      <c r="C5" s="5" t="s">
        <v>48</v>
      </c>
      <c r="D5" s="5" t="s">
        <v>49</v>
      </c>
      <c r="E5" s="4"/>
      <c r="F5" s="4"/>
      <c r="G5" s="4"/>
      <c r="H5" s="4"/>
      <c r="I5" s="4"/>
      <c r="J5" s="4"/>
      <c r="K5" s="4"/>
      <c r="L5" s="4"/>
      <c r="M5" s="4"/>
      <c r="N5" s="4"/>
      <c r="O5" s="4"/>
      <c r="P5" s="4"/>
      <c r="Q5" s="4"/>
    </row>
    <row r="6" ht="13.5" customHeight="1">
      <c r="A6" s="8">
        <v>1.0</v>
      </c>
      <c r="B6" s="6" t="s">
        <v>50</v>
      </c>
      <c r="C6" s="6" t="s">
        <v>51</v>
      </c>
      <c r="D6" s="6" t="s">
        <v>52</v>
      </c>
      <c r="E6" s="4"/>
      <c r="F6" s="4"/>
      <c r="G6" s="4"/>
      <c r="H6" s="4"/>
      <c r="I6" s="4"/>
      <c r="J6" s="4"/>
      <c r="K6" s="4"/>
      <c r="L6" s="4"/>
      <c r="M6" s="4"/>
      <c r="N6" s="4"/>
      <c r="O6" s="4"/>
      <c r="P6" s="4"/>
      <c r="Q6" s="4"/>
    </row>
    <row r="7" ht="13.5" customHeight="1">
      <c r="A7" s="8">
        <v>2.0</v>
      </c>
      <c r="B7" s="6" t="s">
        <v>53</v>
      </c>
      <c r="C7" s="6" t="s">
        <v>54</v>
      </c>
      <c r="D7" s="6" t="s">
        <v>55</v>
      </c>
      <c r="E7" s="4"/>
      <c r="F7" s="4"/>
      <c r="G7" s="4"/>
      <c r="H7" s="4"/>
      <c r="I7" s="4"/>
      <c r="J7" s="4"/>
      <c r="K7" s="4"/>
      <c r="L7" s="4"/>
      <c r="M7" s="4"/>
      <c r="N7" s="4"/>
      <c r="O7" s="4"/>
      <c r="P7" s="4"/>
      <c r="Q7" s="4"/>
    </row>
    <row r="8" ht="13.5" customHeight="1">
      <c r="A8" s="8">
        <v>3.0</v>
      </c>
      <c r="B8" s="6" t="s">
        <v>56</v>
      </c>
      <c r="C8" s="6" t="s">
        <v>57</v>
      </c>
      <c r="D8" s="6" t="s">
        <v>58</v>
      </c>
      <c r="E8" s="9"/>
      <c r="F8" s="4"/>
      <c r="G8" s="4"/>
      <c r="H8" s="4"/>
      <c r="I8" s="4"/>
      <c r="J8" s="4"/>
      <c r="K8" s="4"/>
      <c r="L8" s="4"/>
      <c r="M8" s="4"/>
      <c r="N8" s="4"/>
      <c r="O8" s="4"/>
      <c r="P8" s="4"/>
      <c r="Q8" s="4"/>
    </row>
    <row r="9" ht="13.5" customHeight="1">
      <c r="A9" s="8">
        <v>4.0</v>
      </c>
      <c r="B9" s="6" t="s">
        <v>59</v>
      </c>
      <c r="C9" s="6" t="s">
        <v>60</v>
      </c>
      <c r="D9" s="6" t="s">
        <v>61</v>
      </c>
      <c r="E9" s="9"/>
      <c r="F9" s="4"/>
      <c r="G9" s="4"/>
      <c r="H9" s="4"/>
      <c r="I9" s="4"/>
      <c r="J9" s="4"/>
      <c r="K9" s="4"/>
      <c r="L9" s="4"/>
      <c r="M9" s="4"/>
      <c r="N9" s="4"/>
      <c r="O9" s="4"/>
      <c r="P9" s="4"/>
      <c r="Q9" s="4"/>
    </row>
    <row r="10" ht="13.5" customHeight="1">
      <c r="A10" s="8">
        <v>5.0</v>
      </c>
      <c r="B10" s="6" t="s">
        <v>62</v>
      </c>
      <c r="C10" s="6" t="s">
        <v>63</v>
      </c>
      <c r="D10" s="6" t="s">
        <v>64</v>
      </c>
      <c r="E10" s="9"/>
      <c r="F10" s="4"/>
      <c r="G10" s="4"/>
      <c r="H10" s="4"/>
      <c r="I10" s="4"/>
      <c r="J10" s="4"/>
      <c r="K10" s="4"/>
      <c r="L10" s="4"/>
      <c r="M10" s="4"/>
      <c r="N10" s="4"/>
      <c r="O10" s="4"/>
      <c r="P10" s="4"/>
      <c r="Q10" s="4"/>
    </row>
    <row r="11" ht="13.5" customHeight="1">
      <c r="A11" s="8">
        <v>6.0</v>
      </c>
      <c r="B11" s="6" t="s">
        <v>65</v>
      </c>
      <c r="C11" s="6" t="s">
        <v>66</v>
      </c>
      <c r="D11" s="6" t="s">
        <v>67</v>
      </c>
      <c r="E11" s="9"/>
      <c r="F11" s="4"/>
      <c r="G11" s="4"/>
      <c r="H11" s="4"/>
      <c r="I11" s="4"/>
      <c r="J11" s="4"/>
      <c r="K11" s="4"/>
      <c r="L11" s="4"/>
      <c r="M11" s="4"/>
      <c r="N11" s="4"/>
      <c r="O11" s="4"/>
      <c r="P11" s="4"/>
      <c r="Q11" s="4"/>
    </row>
    <row r="12" ht="13.5" customHeight="1">
      <c r="A12" s="8">
        <v>7.0</v>
      </c>
      <c r="B12" s="6" t="s">
        <v>68</v>
      </c>
      <c r="C12" s="6" t="s">
        <v>69</v>
      </c>
      <c r="D12" s="6" t="s">
        <v>70</v>
      </c>
      <c r="E12" s="9"/>
      <c r="F12" s="4"/>
      <c r="G12" s="4"/>
      <c r="H12" s="4"/>
      <c r="I12" s="4"/>
      <c r="J12" s="4"/>
      <c r="K12" s="4"/>
      <c r="L12" s="4"/>
      <c r="M12" s="4"/>
      <c r="N12" s="4"/>
      <c r="O12" s="4"/>
      <c r="P12" s="4"/>
      <c r="Q12" s="4"/>
    </row>
    <row r="13" ht="13.5" customHeight="1">
      <c r="A13" s="8">
        <v>8.0</v>
      </c>
      <c r="B13" s="6" t="s">
        <v>71</v>
      </c>
      <c r="C13" s="6" t="s">
        <v>72</v>
      </c>
      <c r="D13" s="6" t="s">
        <v>73</v>
      </c>
      <c r="E13" s="4"/>
      <c r="F13" s="4"/>
      <c r="G13" s="4"/>
      <c r="H13" s="4"/>
      <c r="I13" s="4"/>
      <c r="J13" s="4"/>
      <c r="K13" s="4"/>
      <c r="L13" s="4"/>
      <c r="M13" s="4"/>
      <c r="N13" s="4"/>
      <c r="O13" s="4"/>
      <c r="P13" s="4"/>
      <c r="Q13" s="4"/>
    </row>
    <row r="14" ht="13.5" customHeight="1">
      <c r="A14" s="4"/>
      <c r="B14" s="4"/>
      <c r="C14" s="4"/>
      <c r="D14" s="4"/>
      <c r="E14" s="4"/>
      <c r="F14" s="4"/>
      <c r="G14" s="4"/>
      <c r="H14" s="4"/>
      <c r="I14" s="4"/>
      <c r="J14" s="4"/>
      <c r="K14" s="4"/>
      <c r="L14" s="4"/>
      <c r="M14" s="4"/>
      <c r="N14" s="4"/>
      <c r="O14" s="4"/>
      <c r="P14" s="4"/>
      <c r="Q14" s="4"/>
    </row>
    <row r="15" ht="10.5" customHeight="1">
      <c r="A15" s="10" t="s">
        <v>74</v>
      </c>
      <c r="B15" s="2"/>
      <c r="C15" s="2"/>
      <c r="D15" s="2"/>
      <c r="E15" s="2"/>
      <c r="F15" s="2"/>
      <c r="G15" s="2"/>
      <c r="H15" s="3"/>
      <c r="I15" s="4"/>
      <c r="J15" s="4"/>
      <c r="K15" s="4"/>
      <c r="L15" s="4"/>
      <c r="M15" s="4"/>
      <c r="N15" s="4"/>
      <c r="O15" s="4"/>
      <c r="P15" s="4"/>
      <c r="Q15" s="4"/>
    </row>
    <row r="16" ht="13.5" customHeight="1">
      <c r="A16" s="11" t="s">
        <v>75</v>
      </c>
      <c r="B16" s="6" t="s">
        <v>76</v>
      </c>
      <c r="C16" s="4"/>
      <c r="D16" s="4"/>
      <c r="E16" s="4"/>
      <c r="F16" s="4"/>
      <c r="G16" s="4"/>
      <c r="H16" s="4"/>
      <c r="I16" s="4"/>
      <c r="J16" s="4"/>
      <c r="K16" s="4"/>
      <c r="L16" s="4"/>
      <c r="M16" s="4"/>
      <c r="N16" s="4"/>
      <c r="O16" s="4"/>
      <c r="P16" s="4"/>
      <c r="Q16" s="4"/>
    </row>
    <row r="17" ht="13.5" customHeight="1">
      <c r="A17" s="12" t="s">
        <v>77</v>
      </c>
      <c r="B17" s="6" t="s">
        <v>78</v>
      </c>
      <c r="C17" s="4"/>
      <c r="D17" s="4"/>
      <c r="E17" s="4"/>
      <c r="F17" s="4"/>
      <c r="G17" s="4"/>
      <c r="H17" s="4"/>
      <c r="I17" s="4"/>
      <c r="J17" s="4"/>
      <c r="K17" s="4"/>
      <c r="L17" s="4"/>
      <c r="M17" s="4"/>
      <c r="N17" s="4"/>
      <c r="O17" s="4"/>
      <c r="P17" s="4"/>
      <c r="Q17" s="4"/>
    </row>
    <row r="18" ht="13.5" customHeight="1">
      <c r="A18" s="13" t="s">
        <v>79</v>
      </c>
      <c r="B18" s="6" t="s">
        <v>80</v>
      </c>
      <c r="C18" s="4"/>
      <c r="D18" s="4"/>
      <c r="E18" s="4"/>
      <c r="F18" s="4"/>
      <c r="G18" s="4"/>
      <c r="H18" s="4"/>
      <c r="I18" s="4"/>
      <c r="J18" s="4"/>
      <c r="K18" s="4"/>
      <c r="L18" s="4"/>
      <c r="M18" s="4"/>
      <c r="N18" s="4"/>
      <c r="O18" s="4"/>
      <c r="P18" s="4"/>
      <c r="Q18" s="4"/>
    </row>
    <row r="19" ht="13.5" customHeight="1">
      <c r="A19" s="14" t="s">
        <v>81</v>
      </c>
      <c r="B19" s="6" t="s">
        <v>82</v>
      </c>
      <c r="C19" s="4"/>
      <c r="D19" s="4"/>
      <c r="E19" s="4"/>
      <c r="F19" s="4"/>
      <c r="G19" s="4"/>
      <c r="H19" s="4"/>
      <c r="I19" s="4"/>
      <c r="J19" s="4"/>
      <c r="K19" s="4"/>
      <c r="L19" s="4"/>
      <c r="M19" s="4"/>
      <c r="N19" s="4"/>
      <c r="O19" s="4"/>
      <c r="P19" s="4"/>
      <c r="Q19" s="4"/>
    </row>
    <row r="20" ht="13.5" customHeight="1">
      <c r="A20" s="4"/>
      <c r="B20" s="4"/>
      <c r="C20" s="4"/>
      <c r="D20" s="4"/>
      <c r="E20" s="4"/>
      <c r="F20" s="4"/>
      <c r="G20" s="4"/>
      <c r="H20" s="4"/>
      <c r="I20" s="4"/>
      <c r="J20" s="4"/>
      <c r="K20" s="4"/>
      <c r="L20" s="4"/>
      <c r="M20" s="4"/>
      <c r="N20" s="4"/>
      <c r="O20" s="4"/>
      <c r="P20" s="4"/>
      <c r="Q20" s="4"/>
    </row>
    <row r="21" ht="10.5" customHeight="1">
      <c r="A21" s="10" t="s">
        <v>83</v>
      </c>
      <c r="B21" s="2"/>
      <c r="C21" s="2"/>
      <c r="D21" s="2"/>
      <c r="E21" s="2"/>
      <c r="F21" s="2"/>
      <c r="G21" s="2"/>
      <c r="H21" s="3"/>
      <c r="I21" s="4"/>
      <c r="J21" s="4"/>
      <c r="K21" s="4"/>
      <c r="L21" s="4"/>
      <c r="M21" s="4"/>
      <c r="N21" s="4"/>
      <c r="O21" s="4"/>
      <c r="P21" s="4"/>
      <c r="Q21" s="4"/>
    </row>
    <row r="22" ht="13.5" customHeight="1">
      <c r="A22" s="6" t="s">
        <v>84</v>
      </c>
      <c r="B22" s="6" t="s">
        <v>85</v>
      </c>
      <c r="C22" s="4"/>
      <c r="D22" s="4"/>
      <c r="E22" s="4"/>
      <c r="F22" s="4"/>
      <c r="G22" s="4"/>
      <c r="H22" s="4"/>
      <c r="I22" s="4"/>
      <c r="J22" s="4"/>
      <c r="K22" s="4"/>
      <c r="L22" s="4"/>
      <c r="M22" s="4"/>
      <c r="N22" s="4"/>
      <c r="O22" s="4"/>
      <c r="P22" s="4"/>
      <c r="Q22" s="4"/>
    </row>
    <row r="23" ht="13.5" customHeight="1">
      <c r="A23" s="6" t="s">
        <v>86</v>
      </c>
      <c r="B23" s="6" t="s">
        <v>87</v>
      </c>
      <c r="C23" s="4"/>
      <c r="D23" s="4"/>
      <c r="E23" s="4"/>
      <c r="F23" s="4"/>
      <c r="G23" s="4"/>
      <c r="H23" s="4"/>
      <c r="I23" s="4"/>
      <c r="J23" s="4"/>
      <c r="K23" s="4"/>
      <c r="L23" s="4"/>
      <c r="M23" s="4"/>
      <c r="N23" s="4"/>
      <c r="O23" s="4"/>
      <c r="P23" s="4"/>
      <c r="Q23" s="4"/>
    </row>
    <row r="24" ht="13.5" customHeight="1">
      <c r="A24" s="4"/>
      <c r="B24" s="4"/>
      <c r="C24" s="4"/>
      <c r="D24" s="4"/>
      <c r="E24" s="4"/>
      <c r="F24" s="4"/>
      <c r="G24" s="4"/>
      <c r="H24" s="4"/>
      <c r="I24" s="4"/>
      <c r="J24" s="4"/>
      <c r="K24" s="4"/>
      <c r="L24" s="4"/>
      <c r="M24" s="4"/>
      <c r="N24" s="4"/>
      <c r="O24" s="4"/>
      <c r="P24" s="4"/>
      <c r="Q24" s="4"/>
    </row>
    <row r="25" ht="13.5" customHeight="1">
      <c r="A25" s="4"/>
      <c r="B25" s="4"/>
      <c r="C25" s="4"/>
      <c r="D25" s="4"/>
      <c r="E25" s="4"/>
      <c r="F25" s="4"/>
      <c r="G25" s="4"/>
      <c r="H25" s="4"/>
      <c r="I25" s="4"/>
      <c r="J25" s="4"/>
      <c r="K25" s="4"/>
      <c r="L25" s="4"/>
      <c r="M25" s="4"/>
      <c r="N25" s="4"/>
      <c r="O25" s="4"/>
      <c r="P25" s="4"/>
      <c r="Q25" s="4"/>
    </row>
    <row r="26" ht="13.5" customHeight="1">
      <c r="A26" s="4"/>
      <c r="B26" s="4"/>
      <c r="C26" s="4"/>
      <c r="D26" s="4"/>
      <c r="E26" s="4"/>
      <c r="F26" s="4"/>
      <c r="G26" s="4"/>
      <c r="H26" s="4"/>
      <c r="I26" s="4"/>
      <c r="J26" s="4"/>
      <c r="K26" s="4"/>
      <c r="L26" s="4"/>
      <c r="M26" s="4"/>
      <c r="N26" s="4"/>
      <c r="O26" s="4"/>
      <c r="P26" s="4"/>
      <c r="Q26" s="4"/>
    </row>
    <row r="27" ht="13.5" customHeight="1">
      <c r="A27" s="4"/>
      <c r="B27" s="4"/>
      <c r="C27" s="4"/>
      <c r="D27" s="4"/>
      <c r="E27" s="4"/>
      <c r="F27" s="4"/>
      <c r="G27" s="4"/>
      <c r="H27" s="4"/>
      <c r="I27" s="4"/>
      <c r="J27" s="4"/>
      <c r="K27" s="4"/>
      <c r="L27" s="4"/>
      <c r="M27" s="4"/>
      <c r="N27" s="4"/>
      <c r="O27" s="4"/>
      <c r="P27" s="4"/>
      <c r="Q27" s="4"/>
    </row>
    <row r="28" ht="13.5" customHeight="1">
      <c r="A28" s="4"/>
      <c r="B28" s="4"/>
      <c r="C28" s="4"/>
      <c r="D28" s="4"/>
      <c r="E28" s="4"/>
      <c r="F28" s="4"/>
      <c r="G28" s="4"/>
      <c r="H28" s="4"/>
      <c r="I28" s="4"/>
      <c r="J28" s="4"/>
      <c r="K28" s="4"/>
      <c r="L28" s="4"/>
      <c r="M28" s="4"/>
      <c r="N28" s="4"/>
      <c r="O28" s="4"/>
      <c r="P28" s="4"/>
      <c r="Q28" s="4"/>
    </row>
    <row r="29" ht="13.5" customHeight="1">
      <c r="A29" s="4"/>
      <c r="B29" s="4"/>
      <c r="C29" s="4"/>
      <c r="D29" s="4"/>
      <c r="E29" s="4"/>
      <c r="F29" s="4"/>
      <c r="G29" s="4"/>
      <c r="H29" s="4"/>
      <c r="I29" s="4"/>
      <c r="J29" s="4"/>
      <c r="K29" s="4"/>
      <c r="L29" s="4"/>
      <c r="M29" s="4"/>
      <c r="N29" s="4"/>
      <c r="O29" s="4"/>
      <c r="P29" s="4"/>
      <c r="Q29" s="4"/>
    </row>
    <row r="30" ht="13.5" customHeight="1">
      <c r="A30" s="4"/>
      <c r="B30" s="4"/>
      <c r="C30" s="4"/>
      <c r="D30" s="4"/>
      <c r="E30" s="4"/>
      <c r="F30" s="4"/>
      <c r="G30" s="4"/>
      <c r="H30" s="4"/>
      <c r="I30" s="4"/>
      <c r="J30" s="4"/>
      <c r="K30" s="4"/>
      <c r="L30" s="4"/>
      <c r="M30" s="4"/>
      <c r="N30" s="4"/>
      <c r="O30" s="4"/>
      <c r="P30" s="4"/>
      <c r="Q30" s="4"/>
    </row>
    <row r="31" ht="13.5" customHeight="1">
      <c r="A31" s="4"/>
      <c r="B31" s="4"/>
      <c r="C31" s="4"/>
      <c r="D31" s="4"/>
      <c r="E31" s="4"/>
      <c r="F31" s="4"/>
      <c r="G31" s="4"/>
      <c r="H31" s="4"/>
      <c r="I31" s="4"/>
      <c r="J31" s="4"/>
      <c r="K31" s="4"/>
      <c r="L31" s="4"/>
      <c r="M31" s="4"/>
      <c r="N31" s="4"/>
      <c r="O31" s="4"/>
      <c r="P31" s="4"/>
      <c r="Q31" s="4"/>
    </row>
    <row r="32" ht="13.5" customHeight="1">
      <c r="A32" s="4"/>
      <c r="B32" s="4"/>
      <c r="C32" s="4"/>
      <c r="D32" s="4"/>
      <c r="E32" s="4"/>
      <c r="F32" s="4"/>
      <c r="G32" s="4"/>
      <c r="H32" s="4"/>
      <c r="I32" s="4"/>
      <c r="J32" s="4"/>
      <c r="K32" s="4"/>
      <c r="L32" s="4"/>
      <c r="M32" s="4"/>
      <c r="N32" s="4"/>
      <c r="O32" s="4"/>
      <c r="P32" s="4"/>
      <c r="Q32" s="4"/>
    </row>
    <row r="33" ht="13.5" customHeight="1">
      <c r="A33" s="4"/>
      <c r="B33" s="4"/>
      <c r="C33" s="4"/>
      <c r="D33" s="4"/>
      <c r="E33" s="4"/>
      <c r="F33" s="4"/>
      <c r="G33" s="4"/>
      <c r="H33" s="4"/>
      <c r="I33" s="4"/>
      <c r="J33" s="4"/>
      <c r="K33" s="4"/>
      <c r="L33" s="4"/>
      <c r="M33" s="4"/>
      <c r="N33" s="4"/>
      <c r="O33" s="4"/>
      <c r="P33" s="4"/>
      <c r="Q33" s="4"/>
    </row>
    <row r="34" ht="13.5" customHeight="1">
      <c r="A34" s="4"/>
      <c r="B34" s="4"/>
      <c r="C34" s="4"/>
      <c r="D34" s="4"/>
      <c r="E34" s="4"/>
      <c r="F34" s="4"/>
      <c r="G34" s="4"/>
      <c r="H34" s="4"/>
      <c r="I34" s="4"/>
      <c r="J34" s="4"/>
      <c r="K34" s="4"/>
      <c r="L34" s="4"/>
      <c r="M34" s="4"/>
      <c r="N34" s="4"/>
      <c r="O34" s="4"/>
      <c r="P34" s="4"/>
      <c r="Q34" s="4"/>
    </row>
    <row r="35" ht="13.5" customHeight="1">
      <c r="A35" s="4"/>
      <c r="B35" s="4"/>
      <c r="C35" s="4"/>
      <c r="D35" s="4"/>
      <c r="E35" s="4"/>
      <c r="F35" s="4"/>
      <c r="G35" s="4"/>
      <c r="H35" s="4"/>
      <c r="I35" s="4"/>
      <c r="J35" s="4"/>
      <c r="K35" s="4"/>
      <c r="L35" s="4"/>
      <c r="M35" s="4"/>
      <c r="N35" s="4"/>
      <c r="O35" s="4"/>
      <c r="P35" s="4"/>
      <c r="Q35" s="4"/>
    </row>
    <row r="36" ht="13.5" customHeight="1">
      <c r="A36" s="4"/>
      <c r="B36" s="4"/>
      <c r="C36" s="4"/>
      <c r="D36" s="4"/>
      <c r="E36" s="4"/>
      <c r="F36" s="4"/>
      <c r="G36" s="4"/>
      <c r="H36" s="4"/>
      <c r="I36" s="4"/>
      <c r="J36" s="4"/>
      <c r="K36" s="4"/>
      <c r="L36" s="4"/>
      <c r="M36" s="4"/>
      <c r="N36" s="4"/>
      <c r="O36" s="4"/>
      <c r="P36" s="4"/>
      <c r="Q36" s="4"/>
    </row>
    <row r="37" ht="13.5" customHeight="1">
      <c r="A37" s="4"/>
      <c r="B37" s="4"/>
      <c r="C37" s="4"/>
      <c r="D37" s="4"/>
      <c r="E37" s="4"/>
      <c r="F37" s="4"/>
      <c r="G37" s="4"/>
      <c r="H37" s="4"/>
      <c r="I37" s="4"/>
      <c r="J37" s="4"/>
      <c r="K37" s="4"/>
      <c r="L37" s="4"/>
      <c r="M37" s="4"/>
      <c r="N37" s="4"/>
      <c r="O37" s="4"/>
      <c r="P37" s="4"/>
      <c r="Q37" s="4"/>
    </row>
    <row r="38" ht="13.5" customHeight="1">
      <c r="A38" s="4"/>
      <c r="B38" s="4"/>
      <c r="C38" s="4"/>
      <c r="D38" s="4"/>
      <c r="E38" s="4"/>
      <c r="F38" s="4"/>
      <c r="G38" s="4"/>
      <c r="H38" s="4"/>
      <c r="I38" s="4"/>
      <c r="J38" s="4"/>
      <c r="K38" s="4"/>
      <c r="L38" s="4"/>
      <c r="M38" s="4"/>
      <c r="N38" s="4"/>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c r="A189" s="4"/>
      <c r="B189" s="4"/>
      <c r="C189" s="4"/>
      <c r="D189" s="4"/>
      <c r="E189" s="4"/>
      <c r="F189" s="4"/>
      <c r="G189" s="4"/>
      <c r="H189" s="4"/>
      <c r="I189" s="4"/>
      <c r="J189" s="4"/>
      <c r="K189" s="4"/>
      <c r="L189" s="4"/>
      <c r="M189" s="4"/>
      <c r="N189" s="4"/>
      <c r="O189" s="4"/>
      <c r="P189" s="4"/>
      <c r="Q189" s="4"/>
    </row>
    <row r="190" ht="13.5" customHeight="1">
      <c r="A190" s="4"/>
      <c r="B190" s="4"/>
      <c r="C190" s="4"/>
      <c r="D190" s="4"/>
      <c r="E190" s="4"/>
      <c r="F190" s="4"/>
      <c r="G190" s="4"/>
      <c r="H190" s="4"/>
      <c r="I190" s="4"/>
      <c r="J190" s="4"/>
      <c r="K190" s="4"/>
      <c r="L190" s="4"/>
      <c r="M190" s="4"/>
      <c r="N190" s="4"/>
      <c r="O190" s="4"/>
      <c r="P190" s="4"/>
      <c r="Q190" s="4"/>
    </row>
    <row r="191" ht="13.5" customHeight="1">
      <c r="A191" s="4"/>
      <c r="B191" s="4"/>
      <c r="C191" s="4"/>
      <c r="D191" s="4"/>
      <c r="E191" s="4"/>
      <c r="F191" s="4"/>
      <c r="G191" s="4"/>
      <c r="H191" s="4"/>
      <c r="I191" s="4"/>
      <c r="J191" s="4"/>
      <c r="K191" s="4"/>
      <c r="L191" s="4"/>
      <c r="M191" s="4"/>
      <c r="N191" s="4"/>
      <c r="O191" s="4"/>
      <c r="P191" s="4"/>
      <c r="Q191" s="4"/>
    </row>
    <row r="192" ht="13.5" customHeight="1">
      <c r="A192" s="4"/>
      <c r="B192" s="4"/>
      <c r="C192" s="4"/>
      <c r="D192" s="4"/>
      <c r="E192" s="4"/>
      <c r="F192" s="4"/>
      <c r="G192" s="4"/>
      <c r="H192" s="4"/>
      <c r="I192" s="4"/>
      <c r="J192" s="4"/>
      <c r="K192" s="4"/>
      <c r="L192" s="4"/>
      <c r="M192" s="4"/>
      <c r="N192" s="4"/>
      <c r="O192" s="4"/>
      <c r="P192" s="4"/>
      <c r="Q192" s="4"/>
    </row>
    <row r="193" ht="13.5" customHeight="1">
      <c r="A193" s="4"/>
      <c r="B193" s="4"/>
      <c r="C193" s="4"/>
      <c r="D193" s="4"/>
      <c r="E193" s="4"/>
      <c r="F193" s="4"/>
      <c r="G193" s="4"/>
      <c r="H193" s="4"/>
      <c r="I193" s="4"/>
      <c r="J193" s="4"/>
      <c r="K193" s="4"/>
      <c r="L193" s="4"/>
      <c r="M193" s="4"/>
      <c r="N193" s="4"/>
      <c r="O193" s="4"/>
      <c r="P193" s="4"/>
      <c r="Q193" s="4"/>
    </row>
    <row r="194" ht="13.5" customHeight="1">
      <c r="A194" s="4"/>
      <c r="B194" s="4"/>
      <c r="C194" s="4"/>
      <c r="D194" s="4"/>
      <c r="E194" s="4"/>
      <c r="F194" s="4"/>
      <c r="G194" s="4"/>
      <c r="H194" s="4"/>
      <c r="I194" s="4"/>
      <c r="J194" s="4"/>
      <c r="K194" s="4"/>
      <c r="L194" s="4"/>
      <c r="M194" s="4"/>
      <c r="N194" s="4"/>
      <c r="O194" s="4"/>
      <c r="P194" s="4"/>
      <c r="Q194" s="4"/>
    </row>
    <row r="195" ht="13.5" customHeight="1">
      <c r="A195" s="4"/>
      <c r="B195" s="4"/>
      <c r="C195" s="4"/>
      <c r="D195" s="4"/>
      <c r="E195" s="4"/>
      <c r="F195" s="4"/>
      <c r="G195" s="4"/>
      <c r="H195" s="4"/>
      <c r="I195" s="4"/>
      <c r="J195" s="4"/>
      <c r="K195" s="4"/>
      <c r="L195" s="4"/>
      <c r="M195" s="4"/>
      <c r="N195" s="4"/>
      <c r="O195" s="4"/>
      <c r="P195" s="4"/>
      <c r="Q195" s="4"/>
    </row>
    <row r="196" ht="13.5" customHeight="1">
      <c r="A196" s="4"/>
      <c r="B196" s="4"/>
      <c r="C196" s="4"/>
      <c r="D196" s="4"/>
      <c r="E196" s="4"/>
      <c r="F196" s="4"/>
      <c r="G196" s="4"/>
      <c r="H196" s="4"/>
      <c r="I196" s="4"/>
      <c r="J196" s="4"/>
      <c r="K196" s="4"/>
      <c r="L196" s="4"/>
      <c r="M196" s="4"/>
      <c r="N196" s="4"/>
      <c r="O196" s="4"/>
      <c r="P196" s="4"/>
      <c r="Q196" s="4"/>
    </row>
    <row r="197" ht="13.5" customHeight="1">
      <c r="A197" s="4"/>
      <c r="B197" s="4"/>
      <c r="C197" s="4"/>
      <c r="D197" s="4"/>
      <c r="E197" s="4"/>
      <c r="F197" s="4"/>
      <c r="G197" s="4"/>
      <c r="H197" s="4"/>
      <c r="I197" s="4"/>
      <c r="J197" s="4"/>
      <c r="K197" s="4"/>
      <c r="L197" s="4"/>
      <c r="M197" s="4"/>
      <c r="N197" s="4"/>
      <c r="O197" s="4"/>
      <c r="P197" s="4"/>
      <c r="Q197" s="4"/>
    </row>
    <row r="198" ht="13.5" customHeight="1">
      <c r="A198" s="4"/>
      <c r="B198" s="4"/>
      <c r="C198" s="4"/>
      <c r="D198" s="4"/>
      <c r="E198" s="4"/>
      <c r="F198" s="4"/>
      <c r="G198" s="4"/>
      <c r="H198" s="4"/>
      <c r="I198" s="4"/>
      <c r="J198" s="4"/>
      <c r="K198" s="4"/>
      <c r="L198" s="4"/>
      <c r="M198" s="4"/>
      <c r="N198" s="4"/>
      <c r="O198" s="4"/>
      <c r="P198" s="4"/>
      <c r="Q198" s="4"/>
    </row>
    <row r="199" ht="13.5" customHeight="1">
      <c r="A199" s="4"/>
      <c r="B199" s="4"/>
      <c r="C199" s="4"/>
      <c r="D199" s="4"/>
      <c r="E199" s="4"/>
      <c r="F199" s="4"/>
      <c r="G199" s="4"/>
      <c r="H199" s="4"/>
      <c r="I199" s="4"/>
      <c r="J199" s="4"/>
      <c r="K199" s="4"/>
      <c r="L199" s="4"/>
      <c r="M199" s="4"/>
      <c r="N199" s="4"/>
      <c r="O199" s="4"/>
      <c r="P199" s="4"/>
      <c r="Q199" s="4"/>
    </row>
    <row r="200" ht="13.5" customHeight="1">
      <c r="A200" s="4"/>
      <c r="B200" s="4"/>
      <c r="C200" s="4"/>
      <c r="D200" s="4"/>
      <c r="E200" s="4"/>
      <c r="F200" s="4"/>
      <c r="G200" s="4"/>
      <c r="H200" s="4"/>
      <c r="I200" s="4"/>
      <c r="J200" s="4"/>
      <c r="K200" s="4"/>
      <c r="L200" s="4"/>
      <c r="M200" s="4"/>
      <c r="N200" s="4"/>
      <c r="O200" s="4"/>
      <c r="P200" s="4"/>
      <c r="Q200" s="4"/>
    </row>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H1"/>
    <mergeCell ref="A3:H3"/>
    <mergeCell ref="A15:H15"/>
    <mergeCell ref="A21:H2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8.0"/>
    <col customWidth="1" min="3" max="3" width="17.0"/>
    <col customWidth="1" min="4" max="4" width="19.75"/>
    <col customWidth="1" min="5" max="5" width="24.0"/>
    <col customWidth="1" min="6" max="6" width="35.0"/>
    <col customWidth="1" min="7" max="7" width="22.0"/>
    <col customWidth="1" min="8" max="8" width="32.0"/>
    <col customWidth="1" min="9" max="26" width="8.63"/>
  </cols>
  <sheetData>
    <row r="1" ht="15.0" customHeight="1">
      <c r="A1" s="1" t="s">
        <v>88</v>
      </c>
      <c r="B1" s="2"/>
      <c r="C1" s="2"/>
      <c r="D1" s="2"/>
      <c r="E1" s="2"/>
      <c r="F1" s="2"/>
      <c r="G1" s="2"/>
      <c r="H1" s="3"/>
      <c r="I1" s="4"/>
      <c r="J1" s="4"/>
      <c r="K1" s="4"/>
      <c r="L1" s="4"/>
      <c r="M1" s="4"/>
      <c r="N1" s="4"/>
      <c r="O1" s="4"/>
      <c r="P1" s="4"/>
      <c r="Q1" s="4"/>
    </row>
    <row r="2" ht="13.5" customHeight="1">
      <c r="A2" s="4"/>
      <c r="B2" s="4"/>
      <c r="C2" s="4"/>
      <c r="D2" s="4"/>
      <c r="E2" s="4"/>
      <c r="F2" s="4"/>
      <c r="G2" s="4"/>
      <c r="H2" s="4"/>
      <c r="I2" s="4"/>
      <c r="J2" s="4"/>
      <c r="K2" s="4"/>
      <c r="L2" s="4"/>
      <c r="M2" s="4"/>
      <c r="N2" s="4"/>
      <c r="O2" s="4"/>
      <c r="P2" s="4"/>
      <c r="Q2" s="4"/>
    </row>
    <row r="3" ht="10.5" customHeight="1">
      <c r="A3" s="10" t="s">
        <v>89</v>
      </c>
      <c r="B3" s="2"/>
      <c r="C3" s="2"/>
      <c r="D3" s="2"/>
      <c r="E3" s="2"/>
      <c r="F3" s="2"/>
      <c r="G3" s="2"/>
      <c r="H3" s="3"/>
      <c r="I3" s="4"/>
      <c r="J3" s="4"/>
      <c r="K3" s="4"/>
      <c r="L3" s="4"/>
      <c r="M3" s="4"/>
      <c r="N3" s="4"/>
      <c r="O3" s="4"/>
      <c r="P3" s="4"/>
      <c r="Q3" s="4"/>
    </row>
    <row r="4" ht="13.5" customHeight="1">
      <c r="A4" s="15" t="s">
        <v>90</v>
      </c>
      <c r="B4" s="16"/>
      <c r="C4" s="15" t="s">
        <v>91</v>
      </c>
      <c r="D4" s="17" t="s">
        <v>92</v>
      </c>
      <c r="E4" s="15" t="s">
        <v>93</v>
      </c>
      <c r="F4" s="16" t="s">
        <v>94</v>
      </c>
      <c r="G4" s="15" t="s">
        <v>95</v>
      </c>
      <c r="H4" s="18">
        <v>46215.32874875</v>
      </c>
      <c r="I4" s="4"/>
      <c r="J4" s="4"/>
      <c r="K4" s="4"/>
      <c r="L4" s="4"/>
      <c r="M4" s="4"/>
      <c r="N4" s="4"/>
      <c r="O4" s="4"/>
      <c r="P4" s="4"/>
      <c r="Q4" s="4"/>
    </row>
    <row r="5" ht="13.5" customHeight="1">
      <c r="A5" s="15" t="s">
        <v>96</v>
      </c>
      <c r="B5" s="16"/>
      <c r="C5" s="15" t="s">
        <v>97</v>
      </c>
      <c r="D5" s="19">
        <f>COUNTIFS(B16:B19,"&lt;&gt;",G16:G19,"Có")</f>
        <v>4</v>
      </c>
      <c r="E5" s="15" t="s">
        <v>98</v>
      </c>
      <c r="F5" s="16"/>
      <c r="G5" s="15" t="s">
        <v>99</v>
      </c>
      <c r="H5" s="16"/>
      <c r="I5" s="4"/>
      <c r="J5" s="4"/>
      <c r="K5" s="4"/>
      <c r="L5" s="4"/>
      <c r="M5" s="4"/>
      <c r="N5" s="4"/>
      <c r="O5" s="4"/>
      <c r="P5" s="4"/>
      <c r="Q5" s="4"/>
    </row>
    <row r="6" ht="13.5" customHeight="1">
      <c r="A6" s="15" t="s">
        <v>100</v>
      </c>
      <c r="B6" s="20"/>
      <c r="C6" s="2"/>
      <c r="D6" s="3"/>
      <c r="E6" s="15" t="s">
        <v>101</v>
      </c>
      <c r="F6" s="20"/>
      <c r="G6" s="2"/>
      <c r="H6" s="3"/>
      <c r="I6" s="4"/>
      <c r="J6" s="4"/>
      <c r="K6" s="4"/>
      <c r="L6" s="4"/>
      <c r="M6" s="4"/>
      <c r="N6" s="4"/>
      <c r="O6" s="4"/>
      <c r="P6" s="4"/>
      <c r="Q6" s="4"/>
    </row>
    <row r="7" ht="13.5" customHeight="1">
      <c r="A7" s="15" t="s">
        <v>102</v>
      </c>
      <c r="B7" s="20"/>
      <c r="C7" s="2"/>
      <c r="D7" s="3"/>
      <c r="E7" s="15" t="s">
        <v>103</v>
      </c>
      <c r="F7" s="20"/>
      <c r="G7" s="2"/>
      <c r="H7" s="3"/>
      <c r="I7" s="4"/>
      <c r="J7" s="4"/>
      <c r="K7" s="4"/>
      <c r="L7" s="4"/>
      <c r="M7" s="4"/>
      <c r="N7" s="4"/>
      <c r="O7" s="4"/>
      <c r="P7" s="4"/>
      <c r="Q7" s="4"/>
    </row>
    <row r="8" ht="13.5" customHeight="1">
      <c r="A8" s="15" t="s">
        <v>104</v>
      </c>
      <c r="B8" s="20"/>
      <c r="C8" s="2"/>
      <c r="D8" s="3"/>
      <c r="E8" s="15" t="s">
        <v>105</v>
      </c>
      <c r="F8" s="20"/>
      <c r="G8" s="2"/>
      <c r="H8" s="3"/>
      <c r="I8" s="4"/>
      <c r="J8" s="4"/>
      <c r="K8" s="4"/>
      <c r="L8" s="4"/>
      <c r="M8" s="4"/>
      <c r="N8" s="4"/>
      <c r="O8" s="4"/>
      <c r="P8" s="4"/>
      <c r="Q8" s="4"/>
    </row>
    <row r="9" ht="13.5" customHeight="1">
      <c r="A9" s="4"/>
      <c r="B9" s="4"/>
      <c r="C9" s="4"/>
      <c r="D9" s="4"/>
      <c r="E9" s="4"/>
      <c r="F9" s="4"/>
      <c r="G9" s="4"/>
      <c r="H9" s="4"/>
      <c r="I9" s="4"/>
      <c r="J9" s="4"/>
      <c r="K9" s="4"/>
      <c r="L9" s="4"/>
      <c r="M9" s="4"/>
      <c r="N9" s="4"/>
      <c r="O9" s="4"/>
      <c r="P9" s="4"/>
      <c r="Q9" s="4"/>
    </row>
    <row r="10" ht="27.0" customHeight="1">
      <c r="A10" s="21" t="s">
        <v>106</v>
      </c>
      <c r="B10" s="22"/>
      <c r="C10" s="22"/>
      <c r="D10" s="22"/>
      <c r="E10" s="22"/>
      <c r="F10" s="22"/>
      <c r="G10" s="22"/>
      <c r="H10" s="23"/>
      <c r="I10" s="4"/>
      <c r="J10" s="4"/>
      <c r="K10" s="4"/>
      <c r="L10" s="4"/>
      <c r="M10" s="4"/>
      <c r="N10" s="4"/>
      <c r="O10" s="4"/>
      <c r="P10" s="4"/>
      <c r="Q10" s="4"/>
    </row>
    <row r="11" ht="13.5" customHeight="1">
      <c r="A11" s="24"/>
      <c r="H11" s="25"/>
      <c r="I11" s="4"/>
      <c r="J11" s="4"/>
      <c r="K11" s="4"/>
      <c r="L11" s="4"/>
      <c r="M11" s="4"/>
      <c r="N11" s="4"/>
      <c r="O11" s="4"/>
      <c r="P11" s="4"/>
      <c r="Q11" s="4"/>
    </row>
    <row r="12" ht="13.5" customHeight="1">
      <c r="A12" s="26"/>
      <c r="B12" s="27"/>
      <c r="C12" s="27"/>
      <c r="D12" s="27"/>
      <c r="E12" s="27"/>
      <c r="F12" s="27"/>
      <c r="G12" s="27"/>
      <c r="H12" s="28"/>
      <c r="I12" s="4"/>
      <c r="J12" s="4"/>
      <c r="K12" s="4"/>
      <c r="L12" s="4"/>
      <c r="M12" s="4"/>
      <c r="N12" s="4"/>
      <c r="O12" s="4"/>
      <c r="P12" s="4"/>
      <c r="Q12" s="4"/>
    </row>
    <row r="13" ht="13.5" customHeight="1">
      <c r="A13" s="4"/>
      <c r="B13" s="4"/>
      <c r="C13" s="4"/>
      <c r="D13" s="4"/>
      <c r="E13" s="4"/>
      <c r="F13" s="4"/>
      <c r="G13" s="4"/>
      <c r="H13" s="4"/>
      <c r="I13" s="4"/>
      <c r="J13" s="4"/>
      <c r="K13" s="4"/>
      <c r="L13" s="4"/>
      <c r="M13" s="4"/>
      <c r="N13" s="4"/>
      <c r="O13" s="4"/>
      <c r="P13" s="4"/>
      <c r="Q13" s="4"/>
    </row>
    <row r="14" ht="10.5" customHeight="1">
      <c r="A14" s="10" t="s">
        <v>107</v>
      </c>
      <c r="B14" s="2"/>
      <c r="C14" s="2"/>
      <c r="D14" s="2"/>
      <c r="E14" s="2"/>
      <c r="F14" s="2"/>
      <c r="G14" s="2"/>
      <c r="H14" s="3"/>
      <c r="I14" s="4"/>
      <c r="J14" s="4"/>
      <c r="K14" s="4"/>
      <c r="L14" s="4"/>
      <c r="M14" s="4"/>
      <c r="N14" s="4"/>
      <c r="O14" s="4"/>
      <c r="P14" s="4"/>
      <c r="Q14" s="4"/>
    </row>
    <row r="15" ht="13.5" customHeight="1">
      <c r="A15" s="5" t="s">
        <v>108</v>
      </c>
      <c r="B15" s="5" t="s">
        <v>109</v>
      </c>
      <c r="C15" s="5" t="s">
        <v>110</v>
      </c>
      <c r="D15" s="5" t="s">
        <v>111</v>
      </c>
      <c r="E15" s="5" t="s">
        <v>112</v>
      </c>
      <c r="F15" s="5" t="s">
        <v>113</v>
      </c>
      <c r="G15" s="5" t="s">
        <v>114</v>
      </c>
      <c r="H15" s="5" t="s">
        <v>115</v>
      </c>
      <c r="I15" s="4"/>
      <c r="J15" s="4"/>
      <c r="K15" s="4"/>
      <c r="L15" s="4"/>
      <c r="M15" s="4"/>
      <c r="N15" s="4"/>
      <c r="O15" s="4"/>
      <c r="P15" s="4"/>
      <c r="Q15" s="4"/>
    </row>
    <row r="16" ht="13.5" customHeight="1">
      <c r="A16" s="6">
        <v>1.0</v>
      </c>
      <c r="B16" s="17" t="s">
        <v>116</v>
      </c>
      <c r="C16" s="17">
        <v>2.3120101E7</v>
      </c>
      <c r="D16" s="17" t="s">
        <v>117</v>
      </c>
      <c r="E16" s="17" t="s">
        <v>118</v>
      </c>
      <c r="F16" s="17" t="s">
        <v>119</v>
      </c>
      <c r="G16" s="17" t="s">
        <v>13</v>
      </c>
      <c r="H16" s="16"/>
      <c r="I16" s="4"/>
      <c r="J16" s="4"/>
      <c r="K16" s="4"/>
      <c r="L16" s="4"/>
      <c r="M16" s="4"/>
      <c r="N16" s="4"/>
      <c r="O16" s="4"/>
      <c r="P16" s="4"/>
      <c r="Q16" s="4"/>
    </row>
    <row r="17" ht="13.5" customHeight="1">
      <c r="A17" s="6">
        <v>2.0</v>
      </c>
      <c r="B17" s="17" t="s">
        <v>120</v>
      </c>
      <c r="C17" s="17">
        <v>2.3120117E7</v>
      </c>
      <c r="D17" s="17" t="s">
        <v>121</v>
      </c>
      <c r="E17" s="17" t="s">
        <v>122</v>
      </c>
      <c r="F17" s="17" t="s">
        <v>123</v>
      </c>
      <c r="G17" s="17" t="s">
        <v>13</v>
      </c>
      <c r="H17" s="16"/>
      <c r="I17" s="4"/>
      <c r="J17" s="4"/>
      <c r="K17" s="4"/>
      <c r="L17" s="4"/>
      <c r="M17" s="4"/>
      <c r="N17" s="4"/>
      <c r="O17" s="4"/>
      <c r="P17" s="4"/>
      <c r="Q17" s="4"/>
    </row>
    <row r="18" ht="13.5" customHeight="1">
      <c r="A18" s="6">
        <v>3.0</v>
      </c>
      <c r="B18" s="17" t="s">
        <v>124</v>
      </c>
      <c r="C18" s="17">
        <v>2.3120157E7</v>
      </c>
      <c r="D18" s="17" t="s">
        <v>125</v>
      </c>
      <c r="E18" s="17" t="s">
        <v>126</v>
      </c>
      <c r="F18" s="17" t="s">
        <v>127</v>
      </c>
      <c r="G18" s="17" t="s">
        <v>13</v>
      </c>
      <c r="H18" s="16"/>
      <c r="I18" s="4"/>
      <c r="J18" s="4"/>
      <c r="K18" s="4"/>
      <c r="L18" s="4"/>
      <c r="M18" s="4"/>
      <c r="N18" s="4"/>
      <c r="O18" s="4"/>
      <c r="P18" s="4"/>
      <c r="Q18" s="4"/>
    </row>
    <row r="19" ht="13.5" customHeight="1">
      <c r="A19" s="6">
        <v>4.0</v>
      </c>
      <c r="B19" s="17" t="s">
        <v>128</v>
      </c>
      <c r="C19" s="17">
        <v>2.3120175E7</v>
      </c>
      <c r="D19" s="17" t="s">
        <v>129</v>
      </c>
      <c r="E19" s="17" t="s">
        <v>130</v>
      </c>
      <c r="F19" s="17" t="s">
        <v>131</v>
      </c>
      <c r="G19" s="17" t="s">
        <v>13</v>
      </c>
      <c r="H19" s="16"/>
      <c r="I19" s="4"/>
      <c r="J19" s="4"/>
      <c r="K19" s="4"/>
      <c r="L19" s="4"/>
      <c r="M19" s="4"/>
      <c r="N19" s="4"/>
      <c r="O19" s="4"/>
      <c r="P19" s="4"/>
      <c r="Q19" s="4"/>
    </row>
    <row r="20" ht="13.5" customHeight="1">
      <c r="A20" s="4"/>
      <c r="B20" s="4"/>
      <c r="C20" s="4"/>
      <c r="D20" s="4"/>
      <c r="E20" s="4"/>
      <c r="F20" s="4"/>
      <c r="G20" s="4"/>
      <c r="H20" s="4"/>
      <c r="I20" s="4"/>
      <c r="J20" s="4"/>
      <c r="K20" s="4"/>
      <c r="L20" s="4"/>
      <c r="M20" s="4"/>
      <c r="N20" s="4"/>
      <c r="O20" s="4"/>
      <c r="P20" s="4"/>
      <c r="Q20" s="4"/>
    </row>
    <row r="21" ht="10.5" customHeight="1">
      <c r="A21" s="10" t="s">
        <v>132</v>
      </c>
      <c r="B21" s="2"/>
      <c r="C21" s="2"/>
      <c r="D21" s="2"/>
      <c r="E21" s="2"/>
      <c r="F21" s="2"/>
      <c r="G21" s="2"/>
      <c r="H21" s="3"/>
      <c r="I21" s="4"/>
      <c r="J21" s="4"/>
      <c r="K21" s="4"/>
      <c r="L21" s="4"/>
      <c r="M21" s="4"/>
      <c r="N21" s="4"/>
      <c r="O21" s="4"/>
      <c r="P21" s="4"/>
      <c r="Q21" s="4"/>
    </row>
    <row r="22" ht="13.5" customHeight="1">
      <c r="A22" s="15" t="s">
        <v>133</v>
      </c>
      <c r="B22" s="4" t="s">
        <v>134</v>
      </c>
      <c r="I22" s="4"/>
      <c r="J22" s="4"/>
      <c r="K22" s="4"/>
      <c r="L22" s="4"/>
      <c r="M22" s="4"/>
      <c r="N22" s="4"/>
      <c r="O22" s="4"/>
      <c r="P22" s="4"/>
      <c r="Q22" s="4"/>
    </row>
    <row r="23" ht="13.5" customHeight="1">
      <c r="A23" s="15" t="s">
        <v>135</v>
      </c>
      <c r="B23" s="16"/>
      <c r="C23" s="15" t="s">
        <v>136</v>
      </c>
      <c r="D23" s="16"/>
      <c r="E23" s="15" t="s">
        <v>137</v>
      </c>
      <c r="F23" s="17" t="s">
        <v>138</v>
      </c>
      <c r="G23" s="15" t="s">
        <v>139</v>
      </c>
      <c r="H23" s="17" t="s">
        <v>13</v>
      </c>
      <c r="I23" s="4"/>
      <c r="J23" s="4"/>
      <c r="K23" s="4"/>
      <c r="L23" s="4"/>
      <c r="M23" s="4"/>
      <c r="N23" s="4"/>
      <c r="O23" s="4"/>
      <c r="P23" s="4"/>
      <c r="Q23" s="4"/>
    </row>
    <row r="24" ht="13.5" customHeight="1">
      <c r="A24" s="15" t="s">
        <v>115</v>
      </c>
      <c r="C24" s="16"/>
      <c r="D24" s="16"/>
      <c r="E24" s="16"/>
      <c r="F24" s="16"/>
      <c r="G24" s="16"/>
      <c r="H24" s="16"/>
      <c r="I24" s="4"/>
      <c r="J24" s="4"/>
      <c r="K24" s="4"/>
      <c r="L24" s="4"/>
      <c r="M24" s="4"/>
      <c r="N24" s="4"/>
      <c r="O24" s="4"/>
      <c r="P24" s="4"/>
      <c r="Q24" s="4"/>
    </row>
    <row r="25" ht="13.5" customHeight="1">
      <c r="A25" s="4"/>
      <c r="B25" s="4"/>
      <c r="C25" s="4"/>
      <c r="D25" s="4"/>
      <c r="E25" s="4"/>
      <c r="F25" s="4"/>
      <c r="G25" s="4"/>
      <c r="H25" s="4"/>
      <c r="I25" s="4"/>
      <c r="J25" s="4"/>
      <c r="K25" s="4"/>
      <c r="L25" s="4"/>
      <c r="M25" s="4"/>
      <c r="N25" s="4"/>
      <c r="O25" s="4"/>
      <c r="P25" s="4"/>
      <c r="Q25" s="4"/>
    </row>
    <row r="26" ht="13.5" customHeight="1">
      <c r="A26" s="4"/>
      <c r="B26" s="4"/>
      <c r="C26" s="4"/>
      <c r="D26" s="4"/>
      <c r="E26" s="4"/>
      <c r="F26" s="4"/>
      <c r="G26" s="4"/>
      <c r="H26" s="4"/>
      <c r="I26" s="4"/>
      <c r="J26" s="4"/>
      <c r="K26" s="4"/>
      <c r="L26" s="4"/>
      <c r="M26" s="4"/>
      <c r="N26" s="4"/>
      <c r="O26" s="4"/>
      <c r="P26" s="4"/>
      <c r="Q26" s="4"/>
    </row>
    <row r="27" ht="13.5" customHeight="1">
      <c r="A27" s="4"/>
      <c r="B27" s="4"/>
      <c r="C27" s="4"/>
      <c r="D27" s="4"/>
      <c r="E27" s="4"/>
      <c r="F27" s="4"/>
      <c r="G27" s="4"/>
      <c r="H27" s="4"/>
      <c r="I27" s="4"/>
      <c r="J27" s="4"/>
      <c r="K27" s="4"/>
      <c r="L27" s="4"/>
      <c r="M27" s="4"/>
      <c r="N27" s="4"/>
      <c r="O27" s="4"/>
      <c r="P27" s="4"/>
      <c r="Q27" s="4"/>
    </row>
    <row r="28" ht="13.5" customHeight="1">
      <c r="A28" s="4"/>
      <c r="B28" s="4"/>
      <c r="C28" s="4"/>
      <c r="D28" s="4"/>
      <c r="E28" s="4"/>
      <c r="F28" s="4"/>
      <c r="G28" s="4"/>
      <c r="H28" s="4"/>
      <c r="I28" s="4"/>
      <c r="J28" s="4"/>
      <c r="K28" s="4"/>
      <c r="L28" s="4"/>
      <c r="M28" s="4"/>
      <c r="N28" s="4"/>
      <c r="O28" s="4"/>
      <c r="P28" s="4"/>
      <c r="Q28" s="4"/>
    </row>
    <row r="29" ht="13.5" customHeight="1">
      <c r="A29" s="4"/>
      <c r="B29" s="4"/>
      <c r="C29" s="4"/>
      <c r="D29" s="4"/>
      <c r="E29" s="4"/>
      <c r="F29" s="4"/>
      <c r="G29" s="4"/>
      <c r="H29" s="4"/>
      <c r="I29" s="4"/>
      <c r="J29" s="4"/>
      <c r="K29" s="4"/>
      <c r="L29" s="4"/>
      <c r="M29" s="4"/>
      <c r="N29" s="4"/>
      <c r="O29" s="4"/>
      <c r="P29" s="4"/>
      <c r="Q29" s="4"/>
    </row>
    <row r="30" ht="13.5" customHeight="1">
      <c r="A30" s="4"/>
      <c r="B30" s="4"/>
      <c r="C30" s="4"/>
      <c r="D30" s="4"/>
      <c r="E30" s="4"/>
      <c r="F30" s="4"/>
      <c r="G30" s="4"/>
      <c r="H30" s="4"/>
      <c r="I30" s="4"/>
      <c r="J30" s="4"/>
      <c r="K30" s="4"/>
      <c r="L30" s="4"/>
      <c r="M30" s="4"/>
      <c r="N30" s="4"/>
      <c r="O30" s="4"/>
      <c r="P30" s="4"/>
      <c r="Q30" s="4"/>
    </row>
    <row r="31" ht="13.5" customHeight="1">
      <c r="A31" s="4"/>
      <c r="B31" s="4"/>
      <c r="C31" s="4"/>
      <c r="D31" s="4"/>
      <c r="E31" s="4"/>
      <c r="F31" s="4"/>
      <c r="G31" s="4"/>
      <c r="H31" s="4"/>
      <c r="I31" s="4"/>
      <c r="J31" s="4"/>
      <c r="K31" s="4"/>
      <c r="L31" s="4"/>
      <c r="M31" s="4"/>
      <c r="N31" s="4"/>
      <c r="O31" s="4"/>
      <c r="P31" s="4"/>
      <c r="Q31" s="4"/>
    </row>
    <row r="32" ht="13.5" customHeight="1">
      <c r="A32" s="4"/>
      <c r="B32" s="4"/>
      <c r="C32" s="4"/>
      <c r="D32" s="4"/>
      <c r="E32" s="4"/>
      <c r="F32" s="4"/>
      <c r="G32" s="4"/>
      <c r="H32" s="4"/>
      <c r="I32" s="4"/>
      <c r="J32" s="4"/>
      <c r="K32" s="4"/>
      <c r="L32" s="4"/>
      <c r="M32" s="4"/>
      <c r="N32" s="4"/>
      <c r="O32" s="4"/>
      <c r="P32" s="4"/>
      <c r="Q32" s="4"/>
    </row>
    <row r="33" ht="13.5" customHeight="1">
      <c r="A33" s="4"/>
      <c r="B33" s="4"/>
      <c r="C33" s="4"/>
      <c r="D33" s="4"/>
      <c r="E33" s="4"/>
      <c r="F33" s="4"/>
      <c r="G33" s="4"/>
      <c r="H33" s="4"/>
      <c r="I33" s="4"/>
      <c r="J33" s="4"/>
      <c r="K33" s="4"/>
      <c r="L33" s="4"/>
      <c r="M33" s="4"/>
      <c r="N33" s="4"/>
      <c r="O33" s="4"/>
      <c r="P33" s="4"/>
      <c r="Q33" s="4"/>
    </row>
    <row r="34" ht="13.5" customHeight="1">
      <c r="A34" s="4"/>
      <c r="B34" s="4"/>
      <c r="C34" s="4"/>
      <c r="D34" s="4"/>
      <c r="E34" s="4"/>
      <c r="F34" s="4"/>
      <c r="G34" s="4"/>
      <c r="H34" s="4"/>
      <c r="I34" s="4"/>
      <c r="J34" s="4"/>
      <c r="K34" s="4"/>
      <c r="L34" s="4"/>
      <c r="M34" s="4"/>
      <c r="N34" s="4"/>
      <c r="O34" s="4"/>
      <c r="P34" s="4"/>
      <c r="Q34" s="4"/>
    </row>
    <row r="35" ht="13.5" customHeight="1">
      <c r="A35" s="4"/>
      <c r="B35" s="4"/>
      <c r="C35" s="4"/>
      <c r="D35" s="4"/>
      <c r="E35" s="4"/>
      <c r="F35" s="4"/>
      <c r="G35" s="4"/>
      <c r="H35" s="4"/>
      <c r="I35" s="4"/>
      <c r="J35" s="4"/>
      <c r="K35" s="4"/>
      <c r="L35" s="4"/>
      <c r="M35" s="4"/>
      <c r="N35" s="4"/>
      <c r="O35" s="4"/>
      <c r="P35" s="4"/>
      <c r="Q35" s="4"/>
    </row>
    <row r="36" ht="13.5" customHeight="1">
      <c r="A36" s="4"/>
      <c r="B36" s="4"/>
      <c r="C36" s="4"/>
      <c r="D36" s="4"/>
      <c r="E36" s="4"/>
      <c r="F36" s="4"/>
      <c r="G36" s="4"/>
      <c r="H36" s="4"/>
      <c r="I36" s="4"/>
      <c r="J36" s="4"/>
      <c r="K36" s="4"/>
      <c r="L36" s="4"/>
      <c r="M36" s="4"/>
      <c r="N36" s="4"/>
      <c r="O36" s="4"/>
      <c r="P36" s="4"/>
      <c r="Q36" s="4"/>
    </row>
    <row r="37" ht="13.5" customHeight="1">
      <c r="A37" s="4"/>
      <c r="B37" s="4"/>
      <c r="C37" s="4"/>
      <c r="D37" s="4"/>
      <c r="E37" s="4"/>
      <c r="F37" s="4"/>
      <c r="G37" s="4"/>
      <c r="H37" s="4"/>
      <c r="I37" s="4"/>
      <c r="J37" s="4"/>
      <c r="K37" s="4"/>
      <c r="L37" s="4"/>
      <c r="M37" s="4"/>
      <c r="N37" s="4"/>
      <c r="O37" s="4"/>
      <c r="P37" s="4"/>
      <c r="Q37" s="4"/>
    </row>
    <row r="38" ht="13.5" customHeight="1">
      <c r="A38" s="4"/>
      <c r="B38" s="4"/>
      <c r="C38" s="4"/>
      <c r="D38" s="4"/>
      <c r="E38" s="4"/>
      <c r="F38" s="4"/>
      <c r="G38" s="4"/>
      <c r="H38" s="4"/>
      <c r="I38" s="4"/>
      <c r="J38" s="4"/>
      <c r="K38" s="4"/>
      <c r="L38" s="4"/>
      <c r="M38" s="4"/>
      <c r="N38" s="4"/>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c r="A189" s="4"/>
      <c r="B189" s="4"/>
      <c r="C189" s="4"/>
      <c r="D189" s="4"/>
      <c r="E189" s="4"/>
      <c r="F189" s="4"/>
      <c r="G189" s="4"/>
      <c r="H189" s="4"/>
      <c r="I189" s="4"/>
      <c r="J189" s="4"/>
      <c r="K189" s="4"/>
      <c r="L189" s="4"/>
      <c r="M189" s="4"/>
      <c r="N189" s="4"/>
      <c r="O189" s="4"/>
      <c r="P189" s="4"/>
      <c r="Q189" s="4"/>
    </row>
    <row r="190" ht="13.5" customHeight="1">
      <c r="A190" s="4"/>
      <c r="B190" s="4"/>
      <c r="C190" s="4"/>
      <c r="D190" s="4"/>
      <c r="E190" s="4"/>
      <c r="F190" s="4"/>
      <c r="G190" s="4"/>
      <c r="H190" s="4"/>
      <c r="I190" s="4"/>
      <c r="J190" s="4"/>
      <c r="K190" s="4"/>
      <c r="L190" s="4"/>
      <c r="M190" s="4"/>
      <c r="N190" s="4"/>
      <c r="O190" s="4"/>
      <c r="P190" s="4"/>
      <c r="Q190" s="4"/>
    </row>
    <row r="191" ht="13.5" customHeight="1">
      <c r="A191" s="4"/>
      <c r="B191" s="4"/>
      <c r="C191" s="4"/>
      <c r="D191" s="4"/>
      <c r="E191" s="4"/>
      <c r="F191" s="4"/>
      <c r="G191" s="4"/>
      <c r="H191" s="4"/>
      <c r="I191" s="4"/>
      <c r="J191" s="4"/>
      <c r="K191" s="4"/>
      <c r="L191" s="4"/>
      <c r="M191" s="4"/>
      <c r="N191" s="4"/>
      <c r="O191" s="4"/>
      <c r="P191" s="4"/>
      <c r="Q191" s="4"/>
    </row>
    <row r="192" ht="13.5" customHeight="1">
      <c r="A192" s="4"/>
      <c r="B192" s="4"/>
      <c r="C192" s="4"/>
      <c r="D192" s="4"/>
      <c r="E192" s="4"/>
      <c r="F192" s="4"/>
      <c r="G192" s="4"/>
      <c r="H192" s="4"/>
      <c r="I192" s="4"/>
      <c r="J192" s="4"/>
      <c r="K192" s="4"/>
      <c r="L192" s="4"/>
      <c r="M192" s="4"/>
      <c r="N192" s="4"/>
      <c r="O192" s="4"/>
      <c r="P192" s="4"/>
      <c r="Q192" s="4"/>
    </row>
    <row r="193" ht="13.5" customHeight="1">
      <c r="A193" s="4"/>
      <c r="B193" s="4"/>
      <c r="C193" s="4"/>
      <c r="D193" s="4"/>
      <c r="E193" s="4"/>
      <c r="F193" s="4"/>
      <c r="G193" s="4"/>
      <c r="H193" s="4"/>
      <c r="I193" s="4"/>
      <c r="J193" s="4"/>
      <c r="K193" s="4"/>
      <c r="L193" s="4"/>
      <c r="M193" s="4"/>
      <c r="N193" s="4"/>
      <c r="O193" s="4"/>
      <c r="P193" s="4"/>
      <c r="Q193" s="4"/>
    </row>
    <row r="194" ht="13.5" customHeight="1">
      <c r="A194" s="4"/>
      <c r="B194" s="4"/>
      <c r="C194" s="4"/>
      <c r="D194" s="4"/>
      <c r="E194" s="4"/>
      <c r="F194" s="4"/>
      <c r="G194" s="4"/>
      <c r="H194" s="4"/>
      <c r="I194" s="4"/>
      <c r="J194" s="4"/>
      <c r="K194" s="4"/>
      <c r="L194" s="4"/>
      <c r="M194" s="4"/>
      <c r="N194" s="4"/>
      <c r="O194" s="4"/>
      <c r="P194" s="4"/>
      <c r="Q194" s="4"/>
    </row>
    <row r="195" ht="13.5" customHeight="1">
      <c r="A195" s="4"/>
      <c r="B195" s="4"/>
      <c r="C195" s="4"/>
      <c r="D195" s="4"/>
      <c r="E195" s="4"/>
      <c r="F195" s="4"/>
      <c r="G195" s="4"/>
      <c r="H195" s="4"/>
      <c r="I195" s="4"/>
      <c r="J195" s="4"/>
      <c r="K195" s="4"/>
      <c r="L195" s="4"/>
      <c r="M195" s="4"/>
      <c r="N195" s="4"/>
      <c r="O195" s="4"/>
      <c r="P195" s="4"/>
      <c r="Q195" s="4"/>
    </row>
    <row r="196" ht="13.5" customHeight="1">
      <c r="A196" s="4"/>
      <c r="B196" s="4"/>
      <c r="C196" s="4"/>
      <c r="D196" s="4"/>
      <c r="E196" s="4"/>
      <c r="F196" s="4"/>
      <c r="G196" s="4"/>
      <c r="H196" s="4"/>
      <c r="I196" s="4"/>
      <c r="J196" s="4"/>
      <c r="K196" s="4"/>
      <c r="L196" s="4"/>
      <c r="M196" s="4"/>
      <c r="N196" s="4"/>
      <c r="O196" s="4"/>
      <c r="P196" s="4"/>
      <c r="Q196" s="4"/>
    </row>
    <row r="197" ht="13.5" customHeight="1">
      <c r="A197" s="4"/>
      <c r="B197" s="4"/>
      <c r="C197" s="4"/>
      <c r="D197" s="4"/>
      <c r="E197" s="4"/>
      <c r="F197" s="4"/>
      <c r="G197" s="4"/>
      <c r="H197" s="4"/>
      <c r="I197" s="4"/>
      <c r="J197" s="4"/>
      <c r="K197" s="4"/>
      <c r="L197" s="4"/>
      <c r="M197" s="4"/>
      <c r="N197" s="4"/>
      <c r="O197" s="4"/>
      <c r="P197" s="4"/>
      <c r="Q197" s="4"/>
    </row>
    <row r="198" ht="13.5" customHeight="1">
      <c r="A198" s="4"/>
      <c r="B198" s="4"/>
      <c r="C198" s="4"/>
      <c r="D198" s="4"/>
      <c r="E198" s="4"/>
      <c r="F198" s="4"/>
      <c r="G198" s="4"/>
      <c r="H198" s="4"/>
      <c r="I198" s="4"/>
      <c r="J198" s="4"/>
      <c r="K198" s="4"/>
      <c r="L198" s="4"/>
      <c r="M198" s="4"/>
      <c r="N198" s="4"/>
      <c r="O198" s="4"/>
      <c r="P198" s="4"/>
      <c r="Q198" s="4"/>
    </row>
    <row r="199" ht="13.5" customHeight="1">
      <c r="A199" s="4"/>
      <c r="B199" s="4"/>
      <c r="C199" s="4"/>
      <c r="D199" s="4"/>
      <c r="E199" s="4"/>
      <c r="F199" s="4"/>
      <c r="G199" s="4"/>
      <c r="H199" s="4"/>
      <c r="I199" s="4"/>
      <c r="J199" s="4"/>
      <c r="K199" s="4"/>
      <c r="L199" s="4"/>
      <c r="M199" s="4"/>
      <c r="N199" s="4"/>
      <c r="O199" s="4"/>
      <c r="P199" s="4"/>
      <c r="Q199" s="4"/>
    </row>
    <row r="200" ht="13.5" customHeight="1">
      <c r="A200" s="4"/>
      <c r="B200" s="4"/>
      <c r="C200" s="4"/>
      <c r="D200" s="4"/>
      <c r="E200" s="4"/>
      <c r="F200" s="4"/>
      <c r="G200" s="4"/>
      <c r="H200" s="4"/>
      <c r="I200" s="4"/>
      <c r="J200" s="4"/>
      <c r="K200" s="4"/>
      <c r="L200" s="4"/>
      <c r="M200" s="4"/>
      <c r="N200" s="4"/>
      <c r="O200" s="4"/>
      <c r="P200" s="4"/>
      <c r="Q200" s="4"/>
    </row>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2">
    <mergeCell ref="F8:H8"/>
    <mergeCell ref="A10:H12"/>
    <mergeCell ref="A14:H14"/>
    <mergeCell ref="A21:H21"/>
    <mergeCell ref="B22:H22"/>
    <mergeCell ref="A1:H1"/>
    <mergeCell ref="A3:H3"/>
    <mergeCell ref="B6:D6"/>
    <mergeCell ref="F6:H6"/>
    <mergeCell ref="B7:D7"/>
    <mergeCell ref="F7:H7"/>
    <mergeCell ref="B8:D8"/>
  </mergeCells>
  <dataValidations>
    <dataValidation type="list" allowBlank="1" sqref="F23">
      <formula1>"Mở được,Không mở được,Chưa kiểm tra"</formula1>
    </dataValidation>
    <dataValidation type="list" allowBlank="1" sqref="E16:E19">
      <formula1>"Kiến trúc/Blueprint,Backend,Frontend,Mobile/Check-in,DevOps/Database,Testing/Tài liệu,Khác"</formula1>
    </dataValidation>
    <dataValidation type="list" allowBlank="1" sqref="G16:G19 H23">
      <formula1>'09_DanhMuc'!$E$3:$E$4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2.0"/>
    <col customWidth="1" min="3" max="3" width="20.0"/>
    <col customWidth="1" min="4" max="4" width="58.0"/>
    <col customWidth="1" min="5" max="5" width="48.0"/>
    <col customWidth="1" min="6" max="6" width="23.0"/>
    <col customWidth="1" min="7" max="7" width="16.0"/>
    <col customWidth="1" min="8" max="8" width="9.0"/>
    <col customWidth="1" min="9" max="9" width="67.5"/>
    <col customWidth="1" min="10" max="10" width="19.0"/>
    <col customWidth="1" min="11" max="11" width="76.75"/>
    <col customWidth="1" min="12" max="26" width="8.63"/>
  </cols>
  <sheetData>
    <row r="1" ht="15.0" customHeight="1">
      <c r="A1" s="1" t="s">
        <v>140</v>
      </c>
      <c r="B1" s="2"/>
      <c r="C1" s="2"/>
      <c r="D1" s="2"/>
      <c r="E1" s="2"/>
      <c r="F1" s="2"/>
      <c r="G1" s="2"/>
      <c r="H1" s="2"/>
      <c r="I1" s="2"/>
      <c r="J1" s="2"/>
      <c r="K1" s="3"/>
      <c r="L1" s="4"/>
      <c r="M1" s="4"/>
      <c r="N1" s="4"/>
      <c r="O1" s="4"/>
      <c r="P1" s="4"/>
      <c r="Q1" s="4"/>
    </row>
    <row r="2" ht="13.5" customHeight="1">
      <c r="A2" s="4"/>
      <c r="B2" s="4"/>
      <c r="C2" s="4"/>
      <c r="D2" s="4"/>
      <c r="E2" s="4"/>
      <c r="F2" s="4"/>
      <c r="G2" s="4"/>
      <c r="H2" s="4"/>
      <c r="I2" s="4"/>
      <c r="J2" s="4"/>
      <c r="K2" s="4"/>
      <c r="L2" s="4"/>
      <c r="M2" s="4"/>
      <c r="N2" s="4"/>
      <c r="O2" s="4"/>
      <c r="P2" s="4"/>
      <c r="Q2" s="4"/>
    </row>
    <row r="3" ht="18.0" customHeight="1">
      <c r="A3" s="7" t="s">
        <v>141</v>
      </c>
      <c r="B3" s="2"/>
      <c r="C3" s="2"/>
      <c r="D3" s="2"/>
      <c r="E3" s="2"/>
      <c r="F3" s="2"/>
      <c r="G3" s="2"/>
      <c r="H3" s="2"/>
      <c r="I3" s="2"/>
      <c r="J3" s="2"/>
      <c r="K3" s="3"/>
      <c r="L3" s="4"/>
      <c r="M3" s="4"/>
      <c r="N3" s="4"/>
      <c r="O3" s="4"/>
      <c r="P3" s="4"/>
      <c r="Q3" s="4"/>
    </row>
    <row r="4" ht="21.0" customHeight="1">
      <c r="A4" s="29" t="s">
        <v>142</v>
      </c>
      <c r="B4" s="30">
        <f>IFERROR(SUMIFS($H$6:$H$43,$G$6:$G$43,"&lt;&gt;Không áp dụng")/(COUNTIFS($A$6:$A$43,"&lt;&gt;",$G$6:$G$43,"&lt;&gt;Không áp dụng"))/100,0)</f>
        <v>0.8578947368</v>
      </c>
      <c r="C4" s="29" t="s">
        <v>143</v>
      </c>
      <c r="D4" s="30">
        <f>IFERROR(COUNTIFS($G$6:$G$43,"Hoàn thành")/(COUNTIFS($A$6:$A$43,"&lt;&gt;",$G$6:$G$43,"&lt;&gt;Không áp dụng")),0)</f>
        <v>0.6842105263</v>
      </c>
      <c r="E4" s="29" t="s">
        <v>144</v>
      </c>
      <c r="F4" s="30">
        <f>IFERROR(COUNTIFS($J$6:$J$43,"Đạt",$G$6:$G$43,"&lt;&gt;Không áp dụng")/(COUNTIFS($A$6:$A$43,"&lt;&gt;",$G$6:$G$43,"&lt;&gt;Không áp dụng")),0)</f>
        <v>0.6842105263</v>
      </c>
      <c r="G4" s="29" t="s">
        <v>145</v>
      </c>
      <c r="H4" s="30">
        <f>IFERROR(COUNTIFS($I$6:$I$43,"&lt;&gt;",$G$6:$G$43,"&lt;&gt;Không áp dụng")/(COUNTIFS($A$6:$A$43,"&lt;&gt;",$G$6:$G$43,"&lt;&gt;Không áp dụng")),0)</f>
        <v>1</v>
      </c>
      <c r="I4" s="29" t="s">
        <v>146</v>
      </c>
      <c r="J4" s="30">
        <f>IFERROR(COUNTIFS($G$6:$G$43,"Hoàn thành",$J$6:$J$43,"Đạt",$I$6:$I$43,"&lt;&gt;")/(COUNTIFS($A$6:$A$43,"&lt;&gt;",$G$6:$G$43,"&lt;&gt;Không áp dụng")),0)</f>
        <v>0.6842105263</v>
      </c>
      <c r="K4" s="31" t="s">
        <v>147</v>
      </c>
      <c r="L4" s="4"/>
      <c r="M4" s="4"/>
      <c r="N4" s="4"/>
      <c r="O4" s="4"/>
      <c r="P4" s="4"/>
      <c r="Q4" s="4"/>
    </row>
    <row r="5" ht="13.5" customHeight="1">
      <c r="A5" s="5" t="s">
        <v>148</v>
      </c>
      <c r="B5" s="5" t="s">
        <v>149</v>
      </c>
      <c r="C5" s="5" t="s">
        <v>150</v>
      </c>
      <c r="D5" s="5" t="s">
        <v>151</v>
      </c>
      <c r="E5" s="5" t="s">
        <v>152</v>
      </c>
      <c r="F5" s="5" t="s">
        <v>153</v>
      </c>
      <c r="G5" s="5" t="s">
        <v>1</v>
      </c>
      <c r="H5" s="5" t="s">
        <v>154</v>
      </c>
      <c r="I5" s="5" t="s">
        <v>155</v>
      </c>
      <c r="J5" s="5" t="s">
        <v>156</v>
      </c>
      <c r="K5" s="5" t="s">
        <v>157</v>
      </c>
      <c r="L5" s="4"/>
      <c r="M5" s="4"/>
      <c r="N5" s="4"/>
      <c r="O5" s="4"/>
      <c r="P5" s="4"/>
      <c r="Q5" s="4"/>
    </row>
    <row r="6" ht="13.5" customHeight="1">
      <c r="A6" s="6" t="s">
        <v>158</v>
      </c>
      <c r="B6" s="6" t="s">
        <v>15</v>
      </c>
      <c r="C6" s="6" t="s">
        <v>16</v>
      </c>
      <c r="D6" s="6" t="s">
        <v>159</v>
      </c>
      <c r="E6" s="6" t="s">
        <v>160</v>
      </c>
      <c r="F6" s="32" t="s">
        <v>128</v>
      </c>
      <c r="G6" s="33" t="s">
        <v>27</v>
      </c>
      <c r="H6" s="34">
        <v>100.0</v>
      </c>
      <c r="I6" s="32" t="s">
        <v>161</v>
      </c>
      <c r="J6" s="32" t="s">
        <v>17</v>
      </c>
      <c r="K6" s="32" t="s">
        <v>162</v>
      </c>
      <c r="L6" s="4"/>
      <c r="M6" s="4"/>
      <c r="N6" s="4"/>
      <c r="O6" s="4"/>
      <c r="P6" s="4"/>
      <c r="Q6" s="4"/>
    </row>
    <row r="7" ht="13.5" customHeight="1">
      <c r="A7" s="6" t="s">
        <v>163</v>
      </c>
      <c r="B7" s="6" t="s">
        <v>15</v>
      </c>
      <c r="C7" s="6" t="s">
        <v>16</v>
      </c>
      <c r="D7" s="6" t="s">
        <v>164</v>
      </c>
      <c r="E7" s="6" t="s">
        <v>165</v>
      </c>
      <c r="F7" s="32" t="s">
        <v>128</v>
      </c>
      <c r="G7" s="33" t="s">
        <v>27</v>
      </c>
      <c r="H7" s="34">
        <v>100.0</v>
      </c>
      <c r="I7" s="32" t="s">
        <v>166</v>
      </c>
      <c r="J7" s="32" t="s">
        <v>17</v>
      </c>
      <c r="K7" s="32" t="s">
        <v>167</v>
      </c>
      <c r="L7" s="4"/>
      <c r="M7" s="4"/>
      <c r="N7" s="4"/>
      <c r="O7" s="4"/>
      <c r="P7" s="4"/>
      <c r="Q7" s="4"/>
    </row>
    <row r="8" ht="13.5" customHeight="1">
      <c r="A8" s="6" t="s">
        <v>168</v>
      </c>
      <c r="B8" s="6" t="s">
        <v>15</v>
      </c>
      <c r="C8" s="6" t="s">
        <v>16</v>
      </c>
      <c r="D8" s="6" t="s">
        <v>169</v>
      </c>
      <c r="E8" s="6" t="s">
        <v>170</v>
      </c>
      <c r="F8" s="32" t="s">
        <v>128</v>
      </c>
      <c r="G8" s="33" t="s">
        <v>27</v>
      </c>
      <c r="H8" s="34">
        <v>100.0</v>
      </c>
      <c r="I8" s="32" t="s">
        <v>171</v>
      </c>
      <c r="J8" s="32" t="s">
        <v>17</v>
      </c>
      <c r="K8" s="32" t="s">
        <v>172</v>
      </c>
      <c r="L8" s="4"/>
      <c r="M8" s="4"/>
      <c r="N8" s="4"/>
      <c r="O8" s="4"/>
      <c r="P8" s="4"/>
      <c r="Q8" s="4"/>
    </row>
    <row r="9" ht="13.5" customHeight="1">
      <c r="A9" s="6" t="s">
        <v>173</v>
      </c>
      <c r="B9" s="6" t="s">
        <v>15</v>
      </c>
      <c r="C9" s="6" t="s">
        <v>16</v>
      </c>
      <c r="D9" s="6" t="s">
        <v>174</v>
      </c>
      <c r="E9" s="6" t="s">
        <v>175</v>
      </c>
      <c r="F9" s="32" t="s">
        <v>128</v>
      </c>
      <c r="G9" s="33" t="s">
        <v>27</v>
      </c>
      <c r="H9" s="34">
        <v>100.0</v>
      </c>
      <c r="I9" s="32" t="s">
        <v>176</v>
      </c>
      <c r="J9" s="32" t="s">
        <v>17</v>
      </c>
      <c r="K9" s="32" t="s">
        <v>177</v>
      </c>
      <c r="L9" s="4"/>
      <c r="M9" s="4"/>
      <c r="N9" s="4"/>
      <c r="O9" s="4"/>
      <c r="P9" s="4"/>
      <c r="Q9" s="4"/>
    </row>
    <row r="10" ht="13.5" customHeight="1">
      <c r="A10" s="6" t="s">
        <v>178</v>
      </c>
      <c r="B10" s="6" t="s">
        <v>15</v>
      </c>
      <c r="C10" s="6" t="s">
        <v>16</v>
      </c>
      <c r="D10" s="6" t="s">
        <v>179</v>
      </c>
      <c r="E10" s="6" t="s">
        <v>180</v>
      </c>
      <c r="F10" s="32" t="s">
        <v>120</v>
      </c>
      <c r="G10" s="33" t="s">
        <v>27</v>
      </c>
      <c r="H10" s="34">
        <v>100.0</v>
      </c>
      <c r="I10" s="32" t="s">
        <v>181</v>
      </c>
      <c r="J10" s="32" t="s">
        <v>17</v>
      </c>
      <c r="K10" s="32" t="s">
        <v>182</v>
      </c>
      <c r="L10" s="4"/>
      <c r="M10" s="4"/>
      <c r="N10" s="4"/>
      <c r="O10" s="4"/>
      <c r="P10" s="4"/>
      <c r="Q10" s="4"/>
    </row>
    <row r="11" ht="13.5" customHeight="1">
      <c r="A11" s="6" t="s">
        <v>183</v>
      </c>
      <c r="B11" s="6" t="s">
        <v>15</v>
      </c>
      <c r="C11" s="6" t="s">
        <v>24</v>
      </c>
      <c r="D11" s="6" t="s">
        <v>184</v>
      </c>
      <c r="E11" s="6" t="s">
        <v>185</v>
      </c>
      <c r="F11" s="32" t="s">
        <v>120</v>
      </c>
      <c r="G11" s="33" t="s">
        <v>27</v>
      </c>
      <c r="H11" s="34">
        <v>100.0</v>
      </c>
      <c r="I11" s="32" t="s">
        <v>186</v>
      </c>
      <c r="J11" s="32" t="s">
        <v>17</v>
      </c>
      <c r="K11" s="32" t="s">
        <v>187</v>
      </c>
      <c r="L11" s="4"/>
      <c r="M11" s="4"/>
      <c r="N11" s="4"/>
      <c r="O11" s="4"/>
      <c r="P11" s="4"/>
      <c r="Q11" s="4"/>
    </row>
    <row r="12" ht="13.5" customHeight="1">
      <c r="A12" s="6" t="s">
        <v>188</v>
      </c>
      <c r="B12" s="6" t="s">
        <v>15</v>
      </c>
      <c r="C12" s="6" t="s">
        <v>24</v>
      </c>
      <c r="D12" s="6" t="s">
        <v>189</v>
      </c>
      <c r="E12" s="6" t="s">
        <v>190</v>
      </c>
      <c r="F12" s="32" t="s">
        <v>116</v>
      </c>
      <c r="G12" s="33" t="s">
        <v>27</v>
      </c>
      <c r="H12" s="34">
        <v>100.0</v>
      </c>
      <c r="I12" s="32" t="s">
        <v>191</v>
      </c>
      <c r="J12" s="32" t="s">
        <v>17</v>
      </c>
      <c r="K12" s="32" t="s">
        <v>192</v>
      </c>
      <c r="L12" s="4"/>
      <c r="M12" s="4"/>
      <c r="N12" s="4"/>
      <c r="O12" s="4"/>
      <c r="P12" s="4"/>
      <c r="Q12" s="4"/>
    </row>
    <row r="13" ht="13.5" customHeight="1">
      <c r="A13" s="6" t="s">
        <v>193</v>
      </c>
      <c r="B13" s="6" t="s">
        <v>15</v>
      </c>
      <c r="C13" s="6" t="s">
        <v>24</v>
      </c>
      <c r="D13" s="6" t="s">
        <v>194</v>
      </c>
      <c r="E13" s="6" t="s">
        <v>195</v>
      </c>
      <c r="F13" s="32" t="s">
        <v>124</v>
      </c>
      <c r="G13" s="33" t="s">
        <v>27</v>
      </c>
      <c r="H13" s="34">
        <v>100.0</v>
      </c>
      <c r="I13" s="32" t="s">
        <v>196</v>
      </c>
      <c r="J13" s="32" t="s">
        <v>17</v>
      </c>
      <c r="K13" s="32" t="s">
        <v>197</v>
      </c>
      <c r="L13" s="4"/>
      <c r="M13" s="4"/>
      <c r="N13" s="4"/>
      <c r="O13" s="4"/>
      <c r="P13" s="4"/>
      <c r="Q13" s="4"/>
    </row>
    <row r="14" ht="13.5" customHeight="1">
      <c r="A14" s="6" t="s">
        <v>198</v>
      </c>
      <c r="B14" s="6" t="s">
        <v>15</v>
      </c>
      <c r="C14" s="6" t="s">
        <v>16</v>
      </c>
      <c r="D14" s="6" t="s">
        <v>199</v>
      </c>
      <c r="E14" s="6" t="s">
        <v>200</v>
      </c>
      <c r="F14" s="32" t="s">
        <v>116</v>
      </c>
      <c r="G14" s="33" t="s">
        <v>27</v>
      </c>
      <c r="H14" s="34">
        <v>100.0</v>
      </c>
      <c r="I14" s="32" t="s">
        <v>201</v>
      </c>
      <c r="J14" s="32" t="s">
        <v>17</v>
      </c>
      <c r="K14" s="32" t="s">
        <v>202</v>
      </c>
      <c r="L14" s="4"/>
      <c r="M14" s="4"/>
      <c r="N14" s="4"/>
      <c r="O14" s="4"/>
      <c r="P14" s="4"/>
      <c r="Q14" s="4"/>
    </row>
    <row r="15" ht="13.5" customHeight="1">
      <c r="A15" s="6" t="s">
        <v>203</v>
      </c>
      <c r="B15" s="6" t="s">
        <v>15</v>
      </c>
      <c r="C15" s="6" t="s">
        <v>16</v>
      </c>
      <c r="D15" s="6" t="s">
        <v>204</v>
      </c>
      <c r="E15" s="6" t="s">
        <v>205</v>
      </c>
      <c r="F15" s="32" t="s">
        <v>124</v>
      </c>
      <c r="G15" s="33" t="s">
        <v>27</v>
      </c>
      <c r="H15" s="34">
        <v>100.0</v>
      </c>
      <c r="I15" s="32" t="s">
        <v>206</v>
      </c>
      <c r="J15" s="32" t="s">
        <v>17</v>
      </c>
      <c r="K15" s="32" t="s">
        <v>207</v>
      </c>
      <c r="L15" s="4"/>
      <c r="M15" s="4"/>
      <c r="N15" s="4"/>
      <c r="O15" s="4"/>
      <c r="P15" s="4"/>
      <c r="Q15" s="4"/>
    </row>
    <row r="16" ht="13.5" customHeight="1">
      <c r="A16" s="6" t="s">
        <v>208</v>
      </c>
      <c r="B16" s="6" t="s">
        <v>15</v>
      </c>
      <c r="C16" s="6" t="s">
        <v>16</v>
      </c>
      <c r="D16" s="6" t="s">
        <v>209</v>
      </c>
      <c r="E16" s="6" t="s">
        <v>210</v>
      </c>
      <c r="F16" s="32" t="s">
        <v>124</v>
      </c>
      <c r="G16" s="33" t="s">
        <v>27</v>
      </c>
      <c r="H16" s="34">
        <v>100.0</v>
      </c>
      <c r="I16" s="32" t="s">
        <v>211</v>
      </c>
      <c r="J16" s="32" t="s">
        <v>17</v>
      </c>
      <c r="K16" s="32" t="s">
        <v>212</v>
      </c>
      <c r="L16" s="4"/>
      <c r="M16" s="4"/>
      <c r="N16" s="4"/>
      <c r="O16" s="4"/>
      <c r="P16" s="4"/>
      <c r="Q16" s="4"/>
    </row>
    <row r="17" ht="13.5" customHeight="1">
      <c r="A17" s="6" t="s">
        <v>213</v>
      </c>
      <c r="B17" s="6" t="s">
        <v>15</v>
      </c>
      <c r="C17" s="6" t="s">
        <v>16</v>
      </c>
      <c r="D17" s="6" t="s">
        <v>214</v>
      </c>
      <c r="E17" s="6" t="s">
        <v>215</v>
      </c>
      <c r="F17" s="32" t="s">
        <v>120</v>
      </c>
      <c r="G17" s="33" t="s">
        <v>27</v>
      </c>
      <c r="H17" s="34">
        <v>100.0</v>
      </c>
      <c r="I17" s="32" t="s">
        <v>216</v>
      </c>
      <c r="J17" s="32" t="s">
        <v>17</v>
      </c>
      <c r="K17" s="32" t="s">
        <v>217</v>
      </c>
      <c r="L17" s="4"/>
      <c r="M17" s="4"/>
      <c r="N17" s="4"/>
      <c r="O17" s="4"/>
      <c r="P17" s="4"/>
      <c r="Q17" s="4"/>
    </row>
    <row r="18" ht="13.5" customHeight="1">
      <c r="A18" s="6" t="s">
        <v>218</v>
      </c>
      <c r="B18" s="6" t="s">
        <v>15</v>
      </c>
      <c r="C18" s="6" t="s">
        <v>16</v>
      </c>
      <c r="D18" s="6" t="s">
        <v>219</v>
      </c>
      <c r="E18" s="6" t="s">
        <v>220</v>
      </c>
      <c r="F18" s="32" t="s">
        <v>124</v>
      </c>
      <c r="G18" s="33" t="s">
        <v>27</v>
      </c>
      <c r="H18" s="34">
        <v>100.0</v>
      </c>
      <c r="I18" s="32" t="s">
        <v>221</v>
      </c>
      <c r="J18" s="32" t="s">
        <v>17</v>
      </c>
      <c r="K18" s="32" t="s">
        <v>222</v>
      </c>
      <c r="L18" s="4"/>
      <c r="M18" s="4"/>
      <c r="N18" s="4"/>
      <c r="O18" s="4"/>
      <c r="P18" s="4"/>
      <c r="Q18" s="4"/>
    </row>
    <row r="19" ht="13.5" customHeight="1">
      <c r="A19" s="6" t="s">
        <v>223</v>
      </c>
      <c r="B19" s="6" t="s">
        <v>15</v>
      </c>
      <c r="C19" s="6" t="s">
        <v>31</v>
      </c>
      <c r="D19" s="6" t="s">
        <v>224</v>
      </c>
      <c r="E19" s="6" t="s">
        <v>225</v>
      </c>
      <c r="F19" s="32" t="s">
        <v>128</v>
      </c>
      <c r="G19" s="33" t="s">
        <v>27</v>
      </c>
      <c r="H19" s="34">
        <v>100.0</v>
      </c>
      <c r="I19" s="32" t="s">
        <v>226</v>
      </c>
      <c r="J19" s="32" t="s">
        <v>17</v>
      </c>
      <c r="K19" s="32" t="s">
        <v>227</v>
      </c>
      <c r="L19" s="4"/>
      <c r="M19" s="4"/>
      <c r="N19" s="4"/>
      <c r="O19" s="4"/>
      <c r="P19" s="4"/>
      <c r="Q19" s="4"/>
    </row>
    <row r="20" ht="13.5" customHeight="1">
      <c r="A20" s="6" t="s">
        <v>228</v>
      </c>
      <c r="B20" s="6" t="s">
        <v>15</v>
      </c>
      <c r="C20" s="6" t="s">
        <v>16</v>
      </c>
      <c r="D20" s="6" t="s">
        <v>229</v>
      </c>
      <c r="E20" s="6" t="s">
        <v>230</v>
      </c>
      <c r="F20" s="32" t="s">
        <v>116</v>
      </c>
      <c r="G20" s="33" t="s">
        <v>27</v>
      </c>
      <c r="H20" s="34">
        <v>100.0</v>
      </c>
      <c r="I20" s="32" t="s">
        <v>231</v>
      </c>
      <c r="J20" s="32" t="s">
        <v>17</v>
      </c>
      <c r="K20" s="32" t="s">
        <v>232</v>
      </c>
      <c r="L20" s="4"/>
      <c r="M20" s="4"/>
      <c r="N20" s="4"/>
      <c r="O20" s="4"/>
      <c r="P20" s="4"/>
      <c r="Q20" s="4"/>
    </row>
    <row r="21" ht="13.5" customHeight="1">
      <c r="A21" s="6" t="s">
        <v>233</v>
      </c>
      <c r="B21" s="6" t="s">
        <v>23</v>
      </c>
      <c r="C21" s="6" t="s">
        <v>16</v>
      </c>
      <c r="D21" s="6" t="s">
        <v>234</v>
      </c>
      <c r="E21" s="6" t="s">
        <v>235</v>
      </c>
      <c r="F21" s="32" t="s">
        <v>128</v>
      </c>
      <c r="G21" s="33" t="s">
        <v>27</v>
      </c>
      <c r="H21" s="34">
        <v>100.0</v>
      </c>
      <c r="I21" s="32" t="s">
        <v>236</v>
      </c>
      <c r="J21" s="32" t="s">
        <v>17</v>
      </c>
      <c r="K21" s="32" t="s">
        <v>237</v>
      </c>
      <c r="L21" s="4"/>
      <c r="M21" s="4"/>
      <c r="N21" s="4"/>
      <c r="O21" s="4"/>
      <c r="P21" s="4"/>
      <c r="Q21" s="4"/>
    </row>
    <row r="22" ht="13.5" customHeight="1">
      <c r="A22" s="6" t="s">
        <v>238</v>
      </c>
      <c r="B22" s="6" t="s">
        <v>23</v>
      </c>
      <c r="C22" s="6" t="s">
        <v>16</v>
      </c>
      <c r="D22" s="6" t="s">
        <v>239</v>
      </c>
      <c r="E22" s="6" t="s">
        <v>240</v>
      </c>
      <c r="F22" s="32" t="s">
        <v>116</v>
      </c>
      <c r="G22" s="32" t="s">
        <v>19</v>
      </c>
      <c r="H22" s="34">
        <v>90.0</v>
      </c>
      <c r="I22" s="32" t="s">
        <v>241</v>
      </c>
      <c r="J22" s="32" t="s">
        <v>32</v>
      </c>
      <c r="K22" s="32" t="s">
        <v>242</v>
      </c>
      <c r="L22" s="4"/>
      <c r="M22" s="4"/>
      <c r="N22" s="4"/>
      <c r="O22" s="4"/>
      <c r="P22" s="4"/>
      <c r="Q22" s="4"/>
    </row>
    <row r="23" ht="13.5" customHeight="1">
      <c r="A23" s="6" t="s">
        <v>243</v>
      </c>
      <c r="B23" s="6" t="s">
        <v>23</v>
      </c>
      <c r="C23" s="6" t="s">
        <v>16</v>
      </c>
      <c r="D23" s="6" t="s">
        <v>244</v>
      </c>
      <c r="E23" s="6" t="s">
        <v>245</v>
      </c>
      <c r="F23" s="32" t="s">
        <v>116</v>
      </c>
      <c r="G23" s="32" t="s">
        <v>19</v>
      </c>
      <c r="H23" s="34">
        <v>90.0</v>
      </c>
      <c r="I23" s="32" t="s">
        <v>246</v>
      </c>
      <c r="J23" s="32" t="s">
        <v>32</v>
      </c>
      <c r="K23" s="32" t="s">
        <v>247</v>
      </c>
      <c r="L23" s="4"/>
      <c r="M23" s="4"/>
      <c r="N23" s="4"/>
      <c r="O23" s="4"/>
      <c r="P23" s="4"/>
      <c r="Q23" s="4"/>
    </row>
    <row r="24" ht="13.5" customHeight="1">
      <c r="A24" s="6" t="s">
        <v>248</v>
      </c>
      <c r="B24" s="6" t="s">
        <v>23</v>
      </c>
      <c r="C24" s="6" t="s">
        <v>16</v>
      </c>
      <c r="D24" s="6" t="s">
        <v>249</v>
      </c>
      <c r="E24" s="6" t="s">
        <v>250</v>
      </c>
      <c r="F24" s="32" t="s">
        <v>124</v>
      </c>
      <c r="G24" s="33" t="s">
        <v>27</v>
      </c>
      <c r="H24" s="34">
        <v>100.0</v>
      </c>
      <c r="I24" s="32" t="s">
        <v>251</v>
      </c>
      <c r="J24" s="32" t="s">
        <v>17</v>
      </c>
      <c r="K24" s="32" t="s">
        <v>252</v>
      </c>
      <c r="L24" s="4"/>
      <c r="M24" s="4"/>
      <c r="N24" s="4"/>
      <c r="O24" s="4"/>
      <c r="P24" s="4"/>
      <c r="Q24" s="4"/>
    </row>
    <row r="25" ht="13.5" customHeight="1">
      <c r="A25" s="6" t="s">
        <v>253</v>
      </c>
      <c r="B25" s="6" t="s">
        <v>23</v>
      </c>
      <c r="C25" s="6" t="s">
        <v>16</v>
      </c>
      <c r="D25" s="6" t="s">
        <v>254</v>
      </c>
      <c r="E25" s="6" t="s">
        <v>255</v>
      </c>
      <c r="F25" s="32" t="s">
        <v>124</v>
      </c>
      <c r="G25" s="33" t="s">
        <v>27</v>
      </c>
      <c r="H25" s="34">
        <v>100.0</v>
      </c>
      <c r="I25" s="32" t="s">
        <v>256</v>
      </c>
      <c r="J25" s="32" t="s">
        <v>17</v>
      </c>
      <c r="K25" s="32" t="s">
        <v>257</v>
      </c>
      <c r="L25" s="4"/>
      <c r="M25" s="4"/>
      <c r="N25" s="4"/>
      <c r="O25" s="4"/>
      <c r="P25" s="4"/>
      <c r="Q25" s="4"/>
    </row>
    <row r="26" ht="13.5" customHeight="1">
      <c r="A26" s="6" t="s">
        <v>258</v>
      </c>
      <c r="B26" s="6" t="s">
        <v>23</v>
      </c>
      <c r="C26" s="6" t="s">
        <v>16</v>
      </c>
      <c r="D26" s="6" t="s">
        <v>259</v>
      </c>
      <c r="E26" s="6" t="s">
        <v>260</v>
      </c>
      <c r="F26" s="32" t="s">
        <v>120</v>
      </c>
      <c r="G26" s="33" t="s">
        <v>27</v>
      </c>
      <c r="H26" s="34">
        <v>100.0</v>
      </c>
      <c r="I26" s="32" t="s">
        <v>261</v>
      </c>
      <c r="J26" s="32" t="s">
        <v>17</v>
      </c>
      <c r="K26" s="32" t="s">
        <v>262</v>
      </c>
      <c r="L26" s="4"/>
      <c r="M26" s="4"/>
      <c r="N26" s="4"/>
      <c r="O26" s="4"/>
      <c r="P26" s="4"/>
      <c r="Q26" s="4"/>
    </row>
    <row r="27" ht="13.5" customHeight="1">
      <c r="A27" s="6" t="s">
        <v>263</v>
      </c>
      <c r="B27" s="6" t="s">
        <v>23</v>
      </c>
      <c r="C27" s="6" t="s">
        <v>16</v>
      </c>
      <c r="D27" s="6" t="s">
        <v>264</v>
      </c>
      <c r="E27" s="6" t="s">
        <v>265</v>
      </c>
      <c r="F27" s="32" t="s">
        <v>116</v>
      </c>
      <c r="G27" s="33" t="s">
        <v>27</v>
      </c>
      <c r="H27" s="34">
        <v>100.0</v>
      </c>
      <c r="I27" s="32" t="s">
        <v>266</v>
      </c>
      <c r="J27" s="32" t="s">
        <v>17</v>
      </c>
      <c r="K27" s="32" t="s">
        <v>267</v>
      </c>
      <c r="L27" s="4"/>
      <c r="M27" s="4"/>
      <c r="N27" s="4"/>
      <c r="O27" s="4"/>
      <c r="P27" s="4"/>
      <c r="Q27" s="4"/>
    </row>
    <row r="28" ht="13.5" customHeight="1">
      <c r="A28" s="6" t="s">
        <v>268</v>
      </c>
      <c r="B28" s="6" t="s">
        <v>23</v>
      </c>
      <c r="C28" s="6" t="s">
        <v>16</v>
      </c>
      <c r="D28" s="6" t="s">
        <v>269</v>
      </c>
      <c r="E28" s="6" t="s">
        <v>270</v>
      </c>
      <c r="F28" s="32" t="s">
        <v>116</v>
      </c>
      <c r="G28" s="32" t="s">
        <v>19</v>
      </c>
      <c r="H28" s="34">
        <v>90.0</v>
      </c>
      <c r="I28" s="32" t="s">
        <v>271</v>
      </c>
      <c r="J28" s="32" t="s">
        <v>32</v>
      </c>
      <c r="K28" s="32" t="s">
        <v>272</v>
      </c>
      <c r="L28" s="4"/>
      <c r="M28" s="4"/>
      <c r="N28" s="4"/>
      <c r="O28" s="4"/>
      <c r="P28" s="4"/>
      <c r="Q28" s="4"/>
    </row>
    <row r="29" ht="13.5" customHeight="1">
      <c r="A29" s="6" t="s">
        <v>273</v>
      </c>
      <c r="B29" s="6" t="s">
        <v>23</v>
      </c>
      <c r="C29" s="6" t="s">
        <v>16</v>
      </c>
      <c r="D29" s="6" t="s">
        <v>274</v>
      </c>
      <c r="E29" s="6" t="s">
        <v>275</v>
      </c>
      <c r="F29" s="32" t="s">
        <v>120</v>
      </c>
      <c r="G29" s="33" t="s">
        <v>27</v>
      </c>
      <c r="H29" s="34">
        <v>100.0</v>
      </c>
      <c r="I29" s="32" t="s">
        <v>276</v>
      </c>
      <c r="J29" s="32" t="s">
        <v>17</v>
      </c>
      <c r="K29" s="32" t="s">
        <v>277</v>
      </c>
      <c r="L29" s="4"/>
      <c r="M29" s="4"/>
      <c r="N29" s="4"/>
      <c r="O29" s="4"/>
      <c r="P29" s="4"/>
      <c r="Q29" s="4"/>
    </row>
    <row r="30" ht="13.5" customHeight="1">
      <c r="A30" s="35" t="s">
        <v>278</v>
      </c>
      <c r="B30" s="6" t="s">
        <v>23</v>
      </c>
      <c r="C30" s="6" t="s">
        <v>16</v>
      </c>
      <c r="D30" s="6" t="s">
        <v>279</v>
      </c>
      <c r="E30" s="6" t="s">
        <v>280</v>
      </c>
      <c r="F30" s="32" t="s">
        <v>124</v>
      </c>
      <c r="G30" s="33" t="s">
        <v>27</v>
      </c>
      <c r="H30" s="34">
        <v>100.0</v>
      </c>
      <c r="I30" s="32" t="s">
        <v>281</v>
      </c>
      <c r="J30" s="32" t="s">
        <v>17</v>
      </c>
      <c r="K30" s="32" t="s">
        <v>282</v>
      </c>
      <c r="L30" s="4"/>
      <c r="M30" s="4"/>
      <c r="N30" s="4"/>
      <c r="O30" s="4"/>
      <c r="P30" s="4"/>
      <c r="Q30" s="4"/>
    </row>
    <row r="31" ht="13.5" customHeight="1">
      <c r="A31" s="6" t="s">
        <v>283</v>
      </c>
      <c r="B31" s="6" t="s">
        <v>23</v>
      </c>
      <c r="C31" s="6" t="s">
        <v>16</v>
      </c>
      <c r="D31" s="6" t="s">
        <v>284</v>
      </c>
      <c r="E31" s="6" t="s">
        <v>285</v>
      </c>
      <c r="F31" s="32" t="s">
        <v>116</v>
      </c>
      <c r="G31" s="32" t="s">
        <v>19</v>
      </c>
      <c r="H31" s="34">
        <v>90.0</v>
      </c>
      <c r="I31" s="32" t="s">
        <v>286</v>
      </c>
      <c r="J31" s="32" t="s">
        <v>32</v>
      </c>
      <c r="K31" s="32" t="s">
        <v>287</v>
      </c>
      <c r="L31" s="4"/>
      <c r="M31" s="4"/>
      <c r="N31" s="4"/>
      <c r="O31" s="4"/>
      <c r="P31" s="4"/>
      <c r="Q31" s="4"/>
    </row>
    <row r="32" ht="13.5" customHeight="1">
      <c r="A32" s="35" t="s">
        <v>288</v>
      </c>
      <c r="B32" s="6" t="s">
        <v>23</v>
      </c>
      <c r="C32" s="6" t="s">
        <v>16</v>
      </c>
      <c r="D32" s="6" t="s">
        <v>289</v>
      </c>
      <c r="E32" s="6" t="s">
        <v>290</v>
      </c>
      <c r="F32" s="32" t="s">
        <v>124</v>
      </c>
      <c r="G32" s="32" t="s">
        <v>27</v>
      </c>
      <c r="H32" s="34">
        <v>90.0</v>
      </c>
      <c r="I32" s="32" t="s">
        <v>291</v>
      </c>
      <c r="J32" s="32" t="s">
        <v>17</v>
      </c>
      <c r="K32" s="32" t="s">
        <v>292</v>
      </c>
      <c r="L32" s="4"/>
      <c r="M32" s="4"/>
      <c r="N32" s="4"/>
      <c r="O32" s="4"/>
      <c r="P32" s="4"/>
      <c r="Q32" s="4"/>
    </row>
    <row r="33" ht="13.5" customHeight="1">
      <c r="A33" s="6" t="s">
        <v>293</v>
      </c>
      <c r="B33" s="6" t="s">
        <v>23</v>
      </c>
      <c r="C33" s="6" t="s">
        <v>16</v>
      </c>
      <c r="D33" s="6" t="s">
        <v>294</v>
      </c>
      <c r="E33" s="6" t="s">
        <v>295</v>
      </c>
      <c r="F33" s="32" t="s">
        <v>128</v>
      </c>
      <c r="G33" s="33" t="s">
        <v>27</v>
      </c>
      <c r="H33" s="34">
        <v>100.0</v>
      </c>
      <c r="I33" s="32" t="s">
        <v>296</v>
      </c>
      <c r="J33" s="32" t="s">
        <v>17</v>
      </c>
      <c r="K33" s="32" t="s">
        <v>297</v>
      </c>
      <c r="L33" s="4"/>
      <c r="M33" s="4"/>
      <c r="N33" s="4"/>
      <c r="O33" s="4"/>
      <c r="P33" s="4"/>
      <c r="Q33" s="4"/>
    </row>
    <row r="34" ht="13.5" customHeight="1">
      <c r="A34" s="6" t="s">
        <v>298</v>
      </c>
      <c r="B34" s="6" t="s">
        <v>23</v>
      </c>
      <c r="C34" s="6" t="s">
        <v>16</v>
      </c>
      <c r="D34" s="6" t="s">
        <v>299</v>
      </c>
      <c r="E34" s="6" t="s">
        <v>300</v>
      </c>
      <c r="F34" s="32" t="s">
        <v>128</v>
      </c>
      <c r="G34" s="32" t="s">
        <v>19</v>
      </c>
      <c r="H34" s="34">
        <v>90.0</v>
      </c>
      <c r="I34" s="32" t="s">
        <v>301</v>
      </c>
      <c r="J34" s="32" t="s">
        <v>32</v>
      </c>
      <c r="K34" s="32" t="s">
        <v>302</v>
      </c>
      <c r="L34" s="4"/>
      <c r="M34" s="4"/>
      <c r="N34" s="4"/>
      <c r="O34" s="4"/>
      <c r="P34" s="4"/>
      <c r="Q34" s="4"/>
    </row>
    <row r="35" ht="13.5" customHeight="1">
      <c r="A35" s="6" t="s">
        <v>303</v>
      </c>
      <c r="B35" s="6" t="s">
        <v>23</v>
      </c>
      <c r="C35" s="6" t="s">
        <v>16</v>
      </c>
      <c r="D35" s="6" t="s">
        <v>304</v>
      </c>
      <c r="E35" s="6" t="s">
        <v>305</v>
      </c>
      <c r="F35" s="32" t="s">
        <v>124</v>
      </c>
      <c r="G35" s="33" t="s">
        <v>27</v>
      </c>
      <c r="H35" s="34">
        <v>100.0</v>
      </c>
      <c r="I35" s="32" t="s">
        <v>306</v>
      </c>
      <c r="J35" s="32" t="s">
        <v>17</v>
      </c>
      <c r="K35" s="32" t="s">
        <v>307</v>
      </c>
      <c r="L35" s="4"/>
      <c r="M35" s="4"/>
      <c r="N35" s="4"/>
      <c r="O35" s="4"/>
      <c r="P35" s="4"/>
      <c r="Q35" s="4"/>
    </row>
    <row r="36" ht="13.5" customHeight="1">
      <c r="A36" s="36" t="s">
        <v>308</v>
      </c>
      <c r="B36" s="6" t="s">
        <v>23</v>
      </c>
      <c r="C36" s="6" t="s">
        <v>16</v>
      </c>
      <c r="D36" s="6" t="s">
        <v>309</v>
      </c>
      <c r="E36" s="6" t="s">
        <v>310</v>
      </c>
      <c r="F36" s="32" t="s">
        <v>116</v>
      </c>
      <c r="G36" s="32" t="s">
        <v>19</v>
      </c>
      <c r="H36" s="34">
        <v>60.0</v>
      </c>
      <c r="I36" s="32" t="s">
        <v>311</v>
      </c>
      <c r="J36" s="32" t="s">
        <v>25</v>
      </c>
      <c r="K36" s="32" t="s">
        <v>312</v>
      </c>
      <c r="L36" s="4"/>
      <c r="M36" s="4"/>
      <c r="N36" s="4"/>
      <c r="O36" s="4"/>
      <c r="P36" s="4"/>
      <c r="Q36" s="4"/>
    </row>
    <row r="37" ht="13.5" customHeight="1">
      <c r="A37" s="6" t="s">
        <v>313</v>
      </c>
      <c r="B37" s="6" t="s">
        <v>23</v>
      </c>
      <c r="C37" s="6" t="s">
        <v>16</v>
      </c>
      <c r="D37" s="6" t="s">
        <v>314</v>
      </c>
      <c r="E37" s="6" t="s">
        <v>315</v>
      </c>
      <c r="F37" s="32" t="s">
        <v>120</v>
      </c>
      <c r="G37" s="33" t="s">
        <v>27</v>
      </c>
      <c r="H37" s="34">
        <v>100.0</v>
      </c>
      <c r="I37" s="32" t="s">
        <v>316</v>
      </c>
      <c r="J37" s="32" t="s">
        <v>17</v>
      </c>
      <c r="K37" s="32" t="s">
        <v>317</v>
      </c>
      <c r="L37" s="4"/>
      <c r="M37" s="4"/>
      <c r="N37" s="4"/>
      <c r="O37" s="4"/>
      <c r="P37" s="4"/>
      <c r="Q37" s="4"/>
    </row>
    <row r="38" ht="13.5" customHeight="1">
      <c r="A38" s="35" t="s">
        <v>318</v>
      </c>
      <c r="B38" s="6" t="s">
        <v>23</v>
      </c>
      <c r="C38" s="6" t="s">
        <v>16</v>
      </c>
      <c r="D38" s="6" t="s">
        <v>319</v>
      </c>
      <c r="E38" s="6" t="s">
        <v>320</v>
      </c>
      <c r="F38" s="32" t="s">
        <v>124</v>
      </c>
      <c r="G38" s="32" t="s">
        <v>19</v>
      </c>
      <c r="H38" s="34">
        <v>70.0</v>
      </c>
      <c r="I38" s="32" t="s">
        <v>321</v>
      </c>
      <c r="J38" s="32" t="s">
        <v>32</v>
      </c>
      <c r="K38" s="32" t="s">
        <v>322</v>
      </c>
      <c r="L38" s="4"/>
      <c r="M38" s="4"/>
      <c r="N38" s="4"/>
      <c r="O38" s="4"/>
      <c r="P38" s="4"/>
      <c r="Q38" s="4"/>
    </row>
    <row r="39" ht="13.5" customHeight="1">
      <c r="A39" s="6" t="s">
        <v>323</v>
      </c>
      <c r="B39" s="6" t="s">
        <v>36</v>
      </c>
      <c r="C39" s="6" t="s">
        <v>16</v>
      </c>
      <c r="D39" s="6" t="s">
        <v>324</v>
      </c>
      <c r="E39" s="6" t="s">
        <v>325</v>
      </c>
      <c r="F39" s="32" t="s">
        <v>120</v>
      </c>
      <c r="G39" s="37" t="s">
        <v>11</v>
      </c>
      <c r="H39" s="34">
        <v>0.0</v>
      </c>
      <c r="I39" s="32" t="s">
        <v>326</v>
      </c>
      <c r="J39" s="32" t="s">
        <v>32</v>
      </c>
      <c r="K39" s="32" t="s">
        <v>327</v>
      </c>
      <c r="L39" s="4"/>
      <c r="M39" s="4"/>
      <c r="N39" s="4"/>
      <c r="O39" s="4"/>
      <c r="P39" s="4"/>
      <c r="Q39" s="4"/>
    </row>
    <row r="40" ht="13.5" customHeight="1">
      <c r="A40" s="6" t="s">
        <v>328</v>
      </c>
      <c r="B40" s="6" t="s">
        <v>36</v>
      </c>
      <c r="C40" s="6" t="s">
        <v>16</v>
      </c>
      <c r="D40" s="6" t="s">
        <v>329</v>
      </c>
      <c r="E40" s="6" t="s">
        <v>330</v>
      </c>
      <c r="F40" s="32" t="s">
        <v>120</v>
      </c>
      <c r="G40" s="32" t="s">
        <v>19</v>
      </c>
      <c r="H40" s="34">
        <v>50.0</v>
      </c>
      <c r="I40" s="32" t="s">
        <v>331</v>
      </c>
      <c r="J40" s="32" t="s">
        <v>32</v>
      </c>
      <c r="K40" s="32" t="s">
        <v>332</v>
      </c>
      <c r="L40" s="4"/>
      <c r="M40" s="4"/>
      <c r="N40" s="4"/>
      <c r="O40" s="4"/>
      <c r="P40" s="4"/>
      <c r="Q40" s="4"/>
    </row>
    <row r="41" ht="13.5" customHeight="1">
      <c r="A41" s="6" t="s">
        <v>333</v>
      </c>
      <c r="B41" s="6" t="s">
        <v>36</v>
      </c>
      <c r="C41" s="6" t="s">
        <v>16</v>
      </c>
      <c r="D41" s="6" t="s">
        <v>334</v>
      </c>
      <c r="E41" s="6" t="s">
        <v>335</v>
      </c>
      <c r="F41" s="32" t="s">
        <v>120</v>
      </c>
      <c r="G41" s="32" t="s">
        <v>19</v>
      </c>
      <c r="H41" s="34">
        <v>40.0</v>
      </c>
      <c r="I41" s="32" t="s">
        <v>336</v>
      </c>
      <c r="J41" s="32" t="s">
        <v>25</v>
      </c>
      <c r="K41" s="32" t="s">
        <v>337</v>
      </c>
      <c r="L41" s="4"/>
      <c r="M41" s="4"/>
      <c r="N41" s="4"/>
      <c r="O41" s="4"/>
      <c r="P41" s="4"/>
      <c r="Q41" s="4"/>
    </row>
    <row r="42" ht="13.5" customHeight="1">
      <c r="A42" s="6" t="s">
        <v>338</v>
      </c>
      <c r="B42" s="6" t="s">
        <v>36</v>
      </c>
      <c r="C42" s="6" t="s">
        <v>16</v>
      </c>
      <c r="D42" s="6" t="s">
        <v>339</v>
      </c>
      <c r="E42" s="6" t="s">
        <v>340</v>
      </c>
      <c r="F42" s="32" t="s">
        <v>120</v>
      </c>
      <c r="G42" s="37" t="s">
        <v>11</v>
      </c>
      <c r="H42" s="34">
        <v>0.0</v>
      </c>
      <c r="I42" s="32" t="s">
        <v>341</v>
      </c>
      <c r="J42" s="32" t="s">
        <v>32</v>
      </c>
      <c r="K42" s="32" t="s">
        <v>342</v>
      </c>
      <c r="L42" s="4"/>
      <c r="M42" s="4"/>
      <c r="N42" s="4"/>
      <c r="O42" s="4"/>
      <c r="P42" s="4"/>
      <c r="Q42" s="4"/>
    </row>
    <row r="43" ht="13.5" customHeight="1">
      <c r="A43" s="6" t="s">
        <v>343</v>
      </c>
      <c r="B43" s="6" t="s">
        <v>36</v>
      </c>
      <c r="C43" s="6" t="s">
        <v>16</v>
      </c>
      <c r="D43" s="6" t="s">
        <v>344</v>
      </c>
      <c r="E43" s="6" t="s">
        <v>345</v>
      </c>
      <c r="F43" s="32" t="s">
        <v>120</v>
      </c>
      <c r="G43" s="37" t="s">
        <v>11</v>
      </c>
      <c r="H43" s="34">
        <v>0.0</v>
      </c>
      <c r="I43" s="32" t="s">
        <v>346</v>
      </c>
      <c r="J43" s="32" t="s">
        <v>32</v>
      </c>
      <c r="K43" s="32" t="s">
        <v>347</v>
      </c>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c r="A189" s="4"/>
      <c r="B189" s="4"/>
      <c r="C189" s="4"/>
      <c r="D189" s="4"/>
      <c r="E189" s="4"/>
      <c r="F189" s="4"/>
      <c r="G189" s="4"/>
      <c r="H189" s="4"/>
      <c r="I189" s="4"/>
      <c r="J189" s="4"/>
      <c r="K189" s="4"/>
      <c r="L189" s="4"/>
      <c r="M189" s="4"/>
      <c r="N189" s="4"/>
      <c r="O189" s="4"/>
      <c r="P189" s="4"/>
      <c r="Q189" s="4"/>
    </row>
    <row r="190" ht="13.5" customHeight="1">
      <c r="A190" s="4"/>
      <c r="B190" s="4"/>
      <c r="C190" s="4"/>
      <c r="D190" s="4"/>
      <c r="E190" s="4"/>
      <c r="F190" s="4"/>
      <c r="G190" s="4"/>
      <c r="H190" s="4"/>
      <c r="I190" s="4"/>
      <c r="J190" s="4"/>
      <c r="K190" s="4"/>
      <c r="L190" s="4"/>
      <c r="M190" s="4"/>
      <c r="N190" s="4"/>
      <c r="O190" s="4"/>
      <c r="P190" s="4"/>
      <c r="Q190" s="4"/>
    </row>
    <row r="191" ht="13.5" customHeight="1">
      <c r="A191" s="4"/>
      <c r="B191" s="4"/>
      <c r="C191" s="4"/>
      <c r="D191" s="4"/>
      <c r="E191" s="4"/>
      <c r="F191" s="4"/>
      <c r="G191" s="4"/>
      <c r="H191" s="4"/>
      <c r="I191" s="4"/>
      <c r="J191" s="4"/>
      <c r="K191" s="4"/>
      <c r="L191" s="4"/>
      <c r="M191" s="4"/>
      <c r="N191" s="4"/>
      <c r="O191" s="4"/>
      <c r="P191" s="4"/>
      <c r="Q191" s="4"/>
    </row>
    <row r="192" ht="13.5" customHeight="1">
      <c r="A192" s="4"/>
      <c r="B192" s="4"/>
      <c r="C192" s="4"/>
      <c r="D192" s="4"/>
      <c r="E192" s="4"/>
      <c r="F192" s="4"/>
      <c r="G192" s="4"/>
      <c r="H192" s="4"/>
      <c r="I192" s="4"/>
      <c r="J192" s="4"/>
      <c r="K192" s="4"/>
      <c r="L192" s="4"/>
      <c r="M192" s="4"/>
      <c r="N192" s="4"/>
      <c r="O192" s="4"/>
      <c r="P192" s="4"/>
      <c r="Q192" s="4"/>
    </row>
    <row r="193" ht="13.5" customHeight="1">
      <c r="A193" s="4"/>
      <c r="B193" s="4"/>
      <c r="C193" s="4"/>
      <c r="D193" s="4"/>
      <c r="E193" s="4"/>
      <c r="F193" s="4"/>
      <c r="G193" s="4"/>
      <c r="H193" s="4"/>
      <c r="I193" s="4"/>
      <c r="J193" s="4"/>
      <c r="K193" s="4"/>
      <c r="L193" s="4"/>
      <c r="M193" s="4"/>
      <c r="N193" s="4"/>
      <c r="O193" s="4"/>
      <c r="P193" s="4"/>
      <c r="Q193" s="4"/>
    </row>
    <row r="194" ht="13.5" customHeight="1">
      <c r="A194" s="4"/>
      <c r="B194" s="4"/>
      <c r="C194" s="4"/>
      <c r="D194" s="4"/>
      <c r="E194" s="4"/>
      <c r="F194" s="4"/>
      <c r="G194" s="4"/>
      <c r="H194" s="4"/>
      <c r="I194" s="4"/>
      <c r="J194" s="4"/>
      <c r="K194" s="4"/>
      <c r="L194" s="4"/>
      <c r="M194" s="4"/>
      <c r="N194" s="4"/>
      <c r="O194" s="4"/>
      <c r="P194" s="4"/>
      <c r="Q194" s="4"/>
    </row>
    <row r="195" ht="13.5" customHeight="1">
      <c r="A195" s="4"/>
      <c r="B195" s="4"/>
      <c r="C195" s="4"/>
      <c r="D195" s="4"/>
      <c r="E195" s="4"/>
      <c r="F195" s="4"/>
      <c r="G195" s="4"/>
      <c r="H195" s="4"/>
      <c r="I195" s="4"/>
      <c r="J195" s="4"/>
      <c r="K195" s="4"/>
      <c r="L195" s="4"/>
      <c r="M195" s="4"/>
      <c r="N195" s="4"/>
      <c r="O195" s="4"/>
      <c r="P195" s="4"/>
      <c r="Q195" s="4"/>
    </row>
    <row r="196" ht="13.5" customHeight="1">
      <c r="A196" s="4"/>
      <c r="B196" s="4"/>
      <c r="C196" s="4"/>
      <c r="D196" s="4"/>
      <c r="E196" s="4"/>
      <c r="F196" s="4"/>
      <c r="G196" s="4"/>
      <c r="H196" s="4"/>
      <c r="I196" s="4"/>
      <c r="J196" s="4"/>
      <c r="K196" s="4"/>
      <c r="L196" s="4"/>
      <c r="M196" s="4"/>
      <c r="N196" s="4"/>
      <c r="O196" s="4"/>
      <c r="P196" s="4"/>
      <c r="Q196" s="4"/>
    </row>
    <row r="197" ht="13.5" customHeight="1">
      <c r="A197" s="4"/>
      <c r="B197" s="4"/>
      <c r="C197" s="4"/>
      <c r="D197" s="4"/>
      <c r="E197" s="4"/>
      <c r="F197" s="4"/>
      <c r="G197" s="4"/>
      <c r="H197" s="4"/>
      <c r="I197" s="4"/>
      <c r="J197" s="4"/>
      <c r="K197" s="4"/>
      <c r="L197" s="4"/>
      <c r="M197" s="4"/>
      <c r="N197" s="4"/>
      <c r="O197" s="4"/>
      <c r="P197" s="4"/>
      <c r="Q197" s="4"/>
    </row>
    <row r="198" ht="13.5" customHeight="1">
      <c r="A198" s="4"/>
      <c r="B198" s="4"/>
      <c r="C198" s="4"/>
      <c r="D198" s="4"/>
      <c r="E198" s="4"/>
      <c r="F198" s="4"/>
      <c r="G198" s="4"/>
      <c r="H198" s="4"/>
      <c r="I198" s="4"/>
      <c r="J198" s="4"/>
      <c r="K198" s="4"/>
      <c r="L198" s="4"/>
      <c r="M198" s="4"/>
      <c r="N198" s="4"/>
      <c r="O198" s="4"/>
      <c r="P198" s="4"/>
      <c r="Q198" s="4"/>
    </row>
    <row r="199" ht="13.5" customHeight="1">
      <c r="A199" s="4"/>
      <c r="B199" s="4"/>
      <c r="C199" s="4"/>
      <c r="D199" s="4"/>
      <c r="E199" s="4"/>
      <c r="F199" s="4"/>
      <c r="G199" s="4"/>
      <c r="H199" s="4"/>
      <c r="I199" s="4"/>
      <c r="J199" s="4"/>
      <c r="K199" s="4"/>
      <c r="L199" s="4"/>
      <c r="M199" s="4"/>
      <c r="N199" s="4"/>
      <c r="O199" s="4"/>
      <c r="P199" s="4"/>
      <c r="Q199" s="4"/>
    </row>
    <row r="200" ht="13.5" customHeight="1">
      <c r="A200" s="4"/>
      <c r="B200" s="4"/>
      <c r="C200" s="4"/>
      <c r="D200" s="4"/>
      <c r="E200" s="4"/>
      <c r="F200" s="4"/>
      <c r="G200" s="4"/>
      <c r="H200" s="4"/>
      <c r="I200" s="4"/>
      <c r="J200" s="4"/>
      <c r="K200" s="4"/>
      <c r="L200" s="4"/>
      <c r="M200" s="4"/>
      <c r="N200" s="4"/>
      <c r="O200" s="4"/>
      <c r="P200" s="4"/>
      <c r="Q200" s="4"/>
    </row>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K1"/>
    <mergeCell ref="A3:K3"/>
  </mergeCells>
  <conditionalFormatting sqref="B4">
    <cfRule type="expression" dxfId="0" priority="1">
      <formula>B4&lt;0.5</formula>
    </cfRule>
  </conditionalFormatting>
  <conditionalFormatting sqref="B4">
    <cfRule type="expression" dxfId="1" priority="2">
      <formula>AND(B4&gt;=0.5,B4&lt;0.8)</formula>
    </cfRule>
  </conditionalFormatting>
  <conditionalFormatting sqref="B4">
    <cfRule type="expression" dxfId="2" priority="3">
      <formula>B4&gt;=0.8</formula>
    </cfRule>
  </conditionalFormatting>
  <conditionalFormatting sqref="D4">
    <cfRule type="expression" dxfId="0" priority="4">
      <formula>D4&lt;0.5</formula>
    </cfRule>
  </conditionalFormatting>
  <conditionalFormatting sqref="D4">
    <cfRule type="expression" dxfId="1" priority="5">
      <formula>AND(D4&gt;=0.5,D4&lt;0.8)</formula>
    </cfRule>
  </conditionalFormatting>
  <conditionalFormatting sqref="D4">
    <cfRule type="expression" dxfId="2" priority="6">
      <formula>D4&gt;=0.8</formula>
    </cfRule>
  </conditionalFormatting>
  <conditionalFormatting sqref="F4">
    <cfRule type="expression" dxfId="0" priority="7">
      <formula>F4&lt;0.5</formula>
    </cfRule>
  </conditionalFormatting>
  <conditionalFormatting sqref="F4">
    <cfRule type="expression" dxfId="1" priority="8">
      <formula>AND(F4&gt;=0.5,F4&lt;0.8)</formula>
    </cfRule>
  </conditionalFormatting>
  <conditionalFormatting sqref="F4">
    <cfRule type="expression" dxfId="2" priority="9">
      <formula>F4&gt;=0.8</formula>
    </cfRule>
  </conditionalFormatting>
  <conditionalFormatting sqref="G6:G43">
    <cfRule type="expression" dxfId="2" priority="10">
      <formula>G6="Hoàn thành"</formula>
    </cfRule>
  </conditionalFormatting>
  <conditionalFormatting sqref="G6:G43">
    <cfRule type="expression" dxfId="0" priority="11">
      <formula>G6="Chưa làm"</formula>
    </cfRule>
  </conditionalFormatting>
  <conditionalFormatting sqref="H4">
    <cfRule type="expression" dxfId="0" priority="12">
      <formula>H4&lt;0.5</formula>
    </cfRule>
  </conditionalFormatting>
  <conditionalFormatting sqref="H4">
    <cfRule type="expression" dxfId="1" priority="13">
      <formula>AND(H4&gt;=0.5,H4&lt;0.8)</formula>
    </cfRule>
  </conditionalFormatting>
  <conditionalFormatting sqref="H4">
    <cfRule type="expression" dxfId="2" priority="14">
      <formula>H4&gt;=0.8</formula>
    </cfRule>
  </conditionalFormatting>
  <conditionalFormatting sqref="J4">
    <cfRule type="expression" dxfId="0" priority="15">
      <formula>J4&lt;0.5</formula>
    </cfRule>
  </conditionalFormatting>
  <conditionalFormatting sqref="J4">
    <cfRule type="expression" dxfId="1" priority="16">
      <formula>AND(J4&gt;=0.5,J4&lt;0.8)</formula>
    </cfRule>
  </conditionalFormatting>
  <conditionalFormatting sqref="J4">
    <cfRule type="expression" dxfId="2" priority="17">
      <formula>J4&gt;=0.8</formula>
    </cfRule>
  </conditionalFormatting>
  <dataValidations>
    <dataValidation type="decimal" allowBlank="1" sqref="H6:H43">
      <formula1>0.0</formula1>
      <formula2>100.0</formula2>
    </dataValidation>
    <dataValidation type="list" allowBlank="1" sqref="F6:F43">
      <formula1>'01_ThongTinNhom'!$B$16:$B$19</formula1>
    </dataValidation>
    <dataValidation type="list" allowBlank="1" sqref="G6:G43">
      <formula1>'09_DanhMuc'!$A$3:$A$6</formula1>
    </dataValidation>
    <dataValidation type="list" allowBlank="1" sqref="J6:J43">
      <formula1>'09_DanhMuc'!$I$3:$I$6</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14.0"/>
    <col customWidth="1" min="3" max="3" width="15.0"/>
    <col customWidth="1" min="4" max="4" width="84.25"/>
    <col customWidth="1" min="5" max="5" width="99.63"/>
    <col customWidth="1" min="6" max="7" width="24.0"/>
    <col customWidth="1" min="8" max="8" width="12.0"/>
    <col customWidth="1" min="9" max="9" width="14.0"/>
    <col customWidth="1" min="10" max="10" width="9.0"/>
    <col customWidth="1" min="11" max="11" width="14.0"/>
    <col customWidth="1" min="12" max="12" width="38.0"/>
    <col customWidth="1" min="13" max="13" width="90.63"/>
    <col customWidth="1" min="14" max="14" width="14.0"/>
    <col customWidth="1" min="15" max="26" width="8.63"/>
  </cols>
  <sheetData>
    <row r="1" ht="15.0" customHeight="1">
      <c r="A1" s="1" t="s">
        <v>348</v>
      </c>
      <c r="B1" s="2"/>
      <c r="C1" s="2"/>
      <c r="D1" s="2"/>
      <c r="E1" s="2"/>
      <c r="F1" s="2"/>
      <c r="G1" s="2"/>
      <c r="H1" s="2"/>
      <c r="I1" s="2"/>
      <c r="J1" s="2"/>
      <c r="K1" s="2"/>
      <c r="L1" s="2"/>
      <c r="M1" s="2"/>
      <c r="N1" s="3"/>
      <c r="O1" s="4"/>
      <c r="P1" s="4"/>
      <c r="Q1" s="4"/>
    </row>
    <row r="2" ht="13.5" customHeight="1">
      <c r="A2" s="4"/>
      <c r="B2" s="4"/>
      <c r="C2" s="4"/>
      <c r="D2" s="4"/>
      <c r="E2" s="4"/>
      <c r="F2" s="4"/>
      <c r="G2" s="4"/>
      <c r="H2" s="4"/>
      <c r="I2" s="4"/>
      <c r="J2" s="4"/>
      <c r="K2" s="4"/>
      <c r="L2" s="4"/>
      <c r="M2" s="4"/>
      <c r="N2" s="4"/>
      <c r="O2" s="4"/>
      <c r="P2" s="4"/>
      <c r="Q2" s="4"/>
    </row>
    <row r="3" ht="18.0" customHeight="1">
      <c r="A3" s="7" t="s">
        <v>349</v>
      </c>
      <c r="B3" s="2"/>
      <c r="C3" s="2"/>
      <c r="D3" s="2"/>
      <c r="E3" s="2"/>
      <c r="F3" s="2"/>
      <c r="G3" s="2"/>
      <c r="H3" s="2"/>
      <c r="I3" s="2"/>
      <c r="J3" s="2"/>
      <c r="K3" s="2"/>
      <c r="L3" s="2"/>
      <c r="M3" s="2"/>
      <c r="N3" s="3"/>
      <c r="O3" s="4"/>
      <c r="P3" s="4"/>
      <c r="Q3" s="4"/>
    </row>
    <row r="4" ht="13.5" customHeight="1">
      <c r="A4" s="4"/>
      <c r="B4" s="4"/>
      <c r="C4" s="4"/>
      <c r="D4" s="4"/>
      <c r="E4" s="4"/>
      <c r="F4" s="4"/>
      <c r="G4" s="4"/>
      <c r="H4" s="4"/>
      <c r="I4" s="4"/>
      <c r="J4" s="4"/>
      <c r="K4" s="4"/>
      <c r="L4" s="4"/>
      <c r="M4" s="4"/>
      <c r="N4" s="4"/>
      <c r="O4" s="4"/>
      <c r="P4" s="4"/>
      <c r="Q4" s="4"/>
    </row>
    <row r="5" ht="26.25" customHeight="1">
      <c r="A5" s="5" t="s">
        <v>350</v>
      </c>
      <c r="B5" s="5" t="s">
        <v>351</v>
      </c>
      <c r="C5" s="5" t="s">
        <v>7</v>
      </c>
      <c r="D5" s="5" t="s">
        <v>352</v>
      </c>
      <c r="E5" s="5" t="s">
        <v>353</v>
      </c>
      <c r="F5" s="5" t="s">
        <v>354</v>
      </c>
      <c r="G5" s="5" t="s">
        <v>355</v>
      </c>
      <c r="H5" s="5" t="s">
        <v>356</v>
      </c>
      <c r="I5" s="5" t="s">
        <v>357</v>
      </c>
      <c r="J5" s="5" t="s">
        <v>154</v>
      </c>
      <c r="K5" s="5" t="s">
        <v>358</v>
      </c>
      <c r="L5" s="5" t="s">
        <v>359</v>
      </c>
      <c r="M5" s="5" t="s">
        <v>360</v>
      </c>
      <c r="N5" s="5" t="s">
        <v>361</v>
      </c>
      <c r="O5" s="4"/>
      <c r="P5" s="4"/>
      <c r="Q5" s="4"/>
    </row>
    <row r="6" ht="26.25" customHeight="1">
      <c r="A6" s="32" t="s">
        <v>362</v>
      </c>
      <c r="B6" s="32" t="s">
        <v>228</v>
      </c>
      <c r="C6" s="32" t="s">
        <v>15</v>
      </c>
      <c r="D6" s="32" t="s">
        <v>363</v>
      </c>
      <c r="E6" s="32" t="s">
        <v>364</v>
      </c>
      <c r="F6" s="32" t="s">
        <v>116</v>
      </c>
      <c r="G6" s="32" t="s">
        <v>128</v>
      </c>
      <c r="H6" s="38">
        <v>3.0</v>
      </c>
      <c r="I6" s="32" t="s">
        <v>12</v>
      </c>
      <c r="J6" s="34">
        <v>100.0</v>
      </c>
      <c r="K6" s="38">
        <v>4.0</v>
      </c>
      <c r="L6" s="32" t="s">
        <v>365</v>
      </c>
      <c r="M6" s="32" t="s">
        <v>366</v>
      </c>
      <c r="N6" s="39">
        <v>2.88</v>
      </c>
      <c r="O6" s="4"/>
      <c r="P6" s="4"/>
      <c r="Q6" s="4"/>
    </row>
    <row r="7" ht="26.25" customHeight="1">
      <c r="A7" s="32" t="s">
        <v>367</v>
      </c>
      <c r="B7" s="32" t="s">
        <v>238</v>
      </c>
      <c r="C7" s="32" t="s">
        <v>23</v>
      </c>
      <c r="D7" s="32" t="s">
        <v>368</v>
      </c>
      <c r="E7" s="32" t="s">
        <v>369</v>
      </c>
      <c r="F7" s="32" t="s">
        <v>116</v>
      </c>
      <c r="G7" s="32" t="s">
        <v>120</v>
      </c>
      <c r="H7" s="38">
        <v>5.0</v>
      </c>
      <c r="I7" s="32" t="s">
        <v>12</v>
      </c>
      <c r="J7" s="34">
        <v>100.0</v>
      </c>
      <c r="K7" s="38">
        <v>5.0</v>
      </c>
      <c r="L7" s="32" t="s">
        <v>370</v>
      </c>
      <c r="M7" s="32" t="s">
        <v>371</v>
      </c>
      <c r="N7" s="39">
        <v>6.0</v>
      </c>
      <c r="O7" s="4"/>
      <c r="P7" s="4"/>
      <c r="Q7" s="4"/>
    </row>
    <row r="8" ht="26.25" customHeight="1">
      <c r="A8" s="32" t="s">
        <v>372</v>
      </c>
      <c r="B8" s="32" t="s">
        <v>243</v>
      </c>
      <c r="C8" s="32" t="s">
        <v>23</v>
      </c>
      <c r="D8" s="32" t="s">
        <v>373</v>
      </c>
      <c r="E8" s="32" t="s">
        <v>374</v>
      </c>
      <c r="F8" s="32" t="s">
        <v>116</v>
      </c>
      <c r="G8" s="32" t="s">
        <v>120</v>
      </c>
      <c r="H8" s="38">
        <v>5.0</v>
      </c>
      <c r="I8" s="32" t="s">
        <v>12</v>
      </c>
      <c r="J8" s="34">
        <v>100.0</v>
      </c>
      <c r="K8" s="38">
        <v>5.0</v>
      </c>
      <c r="L8" s="32" t="s">
        <v>375</v>
      </c>
      <c r="M8" s="32" t="s">
        <v>376</v>
      </c>
      <c r="N8" s="39">
        <v>6.0</v>
      </c>
      <c r="O8" s="4"/>
      <c r="P8" s="4"/>
      <c r="Q8" s="4"/>
    </row>
    <row r="9" ht="26.25" customHeight="1">
      <c r="A9" s="32" t="s">
        <v>377</v>
      </c>
      <c r="B9" s="32" t="s">
        <v>283</v>
      </c>
      <c r="C9" s="32" t="s">
        <v>30</v>
      </c>
      <c r="D9" s="32" t="s">
        <v>378</v>
      </c>
      <c r="E9" s="32" t="s">
        <v>379</v>
      </c>
      <c r="F9" s="32" t="s">
        <v>116</v>
      </c>
      <c r="G9" s="32" t="s">
        <v>128</v>
      </c>
      <c r="H9" s="38">
        <v>5.0</v>
      </c>
      <c r="I9" s="32" t="s">
        <v>12</v>
      </c>
      <c r="J9" s="34">
        <v>100.0</v>
      </c>
      <c r="K9" s="38">
        <v>5.0</v>
      </c>
      <c r="L9" s="32" t="s">
        <v>380</v>
      </c>
      <c r="M9" s="32" t="s">
        <v>381</v>
      </c>
      <c r="N9" s="39">
        <v>6.0</v>
      </c>
      <c r="O9" s="4"/>
      <c r="P9" s="4"/>
      <c r="Q9" s="4"/>
    </row>
    <row r="10" ht="26.25" customHeight="1">
      <c r="A10" s="32" t="s">
        <v>382</v>
      </c>
      <c r="B10" s="32" t="s">
        <v>263</v>
      </c>
      <c r="C10" s="32" t="s">
        <v>23</v>
      </c>
      <c r="D10" s="32" t="s">
        <v>383</v>
      </c>
      <c r="E10" s="32" t="s">
        <v>384</v>
      </c>
      <c r="F10" s="32" t="s">
        <v>116</v>
      </c>
      <c r="G10" s="32" t="s">
        <v>124</v>
      </c>
      <c r="H10" s="38">
        <v>5.0</v>
      </c>
      <c r="I10" s="32" t="s">
        <v>12</v>
      </c>
      <c r="J10" s="34">
        <v>100.0</v>
      </c>
      <c r="K10" s="38">
        <v>5.0</v>
      </c>
      <c r="L10" s="32" t="s">
        <v>385</v>
      </c>
      <c r="M10" s="32" t="s">
        <v>386</v>
      </c>
      <c r="N10" s="39">
        <v>6.0</v>
      </c>
      <c r="O10" s="4"/>
      <c r="P10" s="4"/>
      <c r="Q10" s="4"/>
    </row>
    <row r="11" ht="26.25" customHeight="1">
      <c r="A11" s="32" t="s">
        <v>387</v>
      </c>
      <c r="B11" s="32" t="s">
        <v>268</v>
      </c>
      <c r="C11" s="32" t="s">
        <v>23</v>
      </c>
      <c r="D11" s="32" t="s">
        <v>388</v>
      </c>
      <c r="E11" s="32" t="s">
        <v>389</v>
      </c>
      <c r="F11" s="32" t="s">
        <v>116</v>
      </c>
      <c r="G11" s="32" t="s">
        <v>124</v>
      </c>
      <c r="H11" s="38">
        <v>5.0</v>
      </c>
      <c r="I11" s="32" t="s">
        <v>12</v>
      </c>
      <c r="J11" s="34">
        <v>100.0</v>
      </c>
      <c r="K11" s="38">
        <v>5.0</v>
      </c>
      <c r="L11" s="32" t="s">
        <v>390</v>
      </c>
      <c r="M11" s="32" t="s">
        <v>391</v>
      </c>
      <c r="N11" s="39">
        <v>6.0</v>
      </c>
      <c r="O11" s="4"/>
      <c r="P11" s="4"/>
      <c r="Q11" s="4"/>
    </row>
    <row r="12" ht="26.25" customHeight="1">
      <c r="A12" s="32" t="s">
        <v>392</v>
      </c>
      <c r="B12" s="32" t="s">
        <v>258</v>
      </c>
      <c r="C12" s="32" t="s">
        <v>23</v>
      </c>
      <c r="D12" s="32" t="s">
        <v>393</v>
      </c>
      <c r="E12" s="32" t="s">
        <v>394</v>
      </c>
      <c r="F12" s="32" t="s">
        <v>116</v>
      </c>
      <c r="G12" s="32" t="s">
        <v>124</v>
      </c>
      <c r="H12" s="38">
        <v>4.0</v>
      </c>
      <c r="I12" s="32" t="s">
        <v>12</v>
      </c>
      <c r="J12" s="34">
        <v>100.0</v>
      </c>
      <c r="K12" s="38">
        <v>4.0</v>
      </c>
      <c r="L12" s="32" t="s">
        <v>395</v>
      </c>
      <c r="M12" s="32" t="s">
        <v>396</v>
      </c>
      <c r="N12" s="39">
        <v>3.84</v>
      </c>
      <c r="O12" s="4"/>
      <c r="P12" s="4"/>
      <c r="Q12" s="4"/>
    </row>
    <row r="13" ht="26.25" customHeight="1">
      <c r="A13" s="32" t="s">
        <v>397</v>
      </c>
      <c r="B13" s="32" t="s">
        <v>268</v>
      </c>
      <c r="C13" s="32" t="s">
        <v>30</v>
      </c>
      <c r="D13" s="32" t="s">
        <v>398</v>
      </c>
      <c r="E13" s="32" t="s">
        <v>399</v>
      </c>
      <c r="F13" s="32" t="s">
        <v>116</v>
      </c>
      <c r="G13" s="32" t="s">
        <v>128</v>
      </c>
      <c r="H13" s="38">
        <v>4.0</v>
      </c>
      <c r="I13" s="32" t="s">
        <v>12</v>
      </c>
      <c r="J13" s="34">
        <v>100.0</v>
      </c>
      <c r="K13" s="38">
        <v>5.0</v>
      </c>
      <c r="L13" s="32" t="s">
        <v>400</v>
      </c>
      <c r="M13" s="32" t="s">
        <v>401</v>
      </c>
      <c r="N13" s="39">
        <v>4.8</v>
      </c>
      <c r="O13" s="4"/>
      <c r="P13" s="4"/>
      <c r="Q13" s="4"/>
    </row>
    <row r="14" ht="26.25" customHeight="1">
      <c r="A14" s="32" t="s">
        <v>402</v>
      </c>
      <c r="B14" s="32" t="s">
        <v>178</v>
      </c>
      <c r="C14" s="32" t="s">
        <v>15</v>
      </c>
      <c r="D14" s="32" t="s">
        <v>403</v>
      </c>
      <c r="E14" s="32" t="s">
        <v>404</v>
      </c>
      <c r="F14" s="32" t="s">
        <v>120</v>
      </c>
      <c r="G14" s="32" t="s">
        <v>116</v>
      </c>
      <c r="H14" s="38">
        <v>4.0</v>
      </c>
      <c r="I14" s="32" t="s">
        <v>12</v>
      </c>
      <c r="J14" s="34">
        <v>100.0</v>
      </c>
      <c r="K14" s="38">
        <v>5.0</v>
      </c>
      <c r="L14" s="32" t="s">
        <v>405</v>
      </c>
      <c r="M14" s="32" t="s">
        <v>406</v>
      </c>
      <c r="N14" s="39">
        <v>4.8</v>
      </c>
      <c r="O14" s="4"/>
      <c r="P14" s="4"/>
      <c r="Q14" s="4"/>
    </row>
    <row r="15" ht="26.25" customHeight="1">
      <c r="A15" s="32" t="s">
        <v>407</v>
      </c>
      <c r="B15" s="32" t="s">
        <v>313</v>
      </c>
      <c r="C15" s="32" t="s">
        <v>23</v>
      </c>
      <c r="D15" s="32" t="s">
        <v>408</v>
      </c>
      <c r="E15" s="32" t="s">
        <v>409</v>
      </c>
      <c r="F15" s="32" t="s">
        <v>120</v>
      </c>
      <c r="G15" s="32" t="s">
        <v>116</v>
      </c>
      <c r="H15" s="38">
        <v>5.0</v>
      </c>
      <c r="I15" s="32" t="s">
        <v>12</v>
      </c>
      <c r="J15" s="34">
        <v>100.0</v>
      </c>
      <c r="K15" s="38">
        <v>5.0</v>
      </c>
      <c r="L15" s="32" t="s">
        <v>410</v>
      </c>
      <c r="M15" s="32" t="s">
        <v>411</v>
      </c>
      <c r="N15" s="39">
        <v>6.0</v>
      </c>
      <c r="O15" s="4"/>
      <c r="P15" s="4"/>
      <c r="Q15" s="4"/>
    </row>
    <row r="16" ht="26.25" customHeight="1">
      <c r="A16" s="32" t="s">
        <v>412</v>
      </c>
      <c r="B16" s="32" t="s">
        <v>288</v>
      </c>
      <c r="C16" s="32" t="s">
        <v>23</v>
      </c>
      <c r="D16" s="32" t="s">
        <v>413</v>
      </c>
      <c r="E16" s="32" t="s">
        <v>414</v>
      </c>
      <c r="F16" s="32" t="s">
        <v>120</v>
      </c>
      <c r="G16" s="32" t="s">
        <v>128</v>
      </c>
      <c r="H16" s="38">
        <v>5.0</v>
      </c>
      <c r="I16" s="32" t="s">
        <v>12</v>
      </c>
      <c r="J16" s="34">
        <v>100.0</v>
      </c>
      <c r="K16" s="38">
        <v>5.0</v>
      </c>
      <c r="L16" s="32" t="s">
        <v>415</v>
      </c>
      <c r="M16" s="32" t="s">
        <v>416</v>
      </c>
      <c r="N16" s="39">
        <v>6.0</v>
      </c>
      <c r="O16" s="4"/>
      <c r="P16" s="4"/>
      <c r="Q16" s="4"/>
    </row>
    <row r="17" ht="26.25" customHeight="1">
      <c r="A17" s="32" t="s">
        <v>417</v>
      </c>
      <c r="B17" s="32" t="s">
        <v>258</v>
      </c>
      <c r="C17" s="32" t="s">
        <v>23</v>
      </c>
      <c r="D17" s="32" t="s">
        <v>418</v>
      </c>
      <c r="E17" s="32" t="s">
        <v>419</v>
      </c>
      <c r="F17" s="32" t="s">
        <v>120</v>
      </c>
      <c r="G17" s="32" t="s">
        <v>124</v>
      </c>
      <c r="H17" s="38">
        <v>4.0</v>
      </c>
      <c r="I17" s="32" t="s">
        <v>12</v>
      </c>
      <c r="J17" s="34">
        <v>100.0</v>
      </c>
      <c r="K17" s="38">
        <v>4.0</v>
      </c>
      <c r="L17" s="32" t="s">
        <v>420</v>
      </c>
      <c r="M17" s="32" t="s">
        <v>421</v>
      </c>
      <c r="N17" s="39">
        <v>3.84</v>
      </c>
      <c r="O17" s="4"/>
      <c r="P17" s="4"/>
      <c r="Q17" s="4"/>
    </row>
    <row r="18" ht="26.25" customHeight="1">
      <c r="A18" s="32" t="s">
        <v>422</v>
      </c>
      <c r="B18" s="32" t="s">
        <v>273</v>
      </c>
      <c r="C18" s="32" t="s">
        <v>23</v>
      </c>
      <c r="D18" s="32" t="s">
        <v>423</v>
      </c>
      <c r="E18" s="32" t="s">
        <v>424</v>
      </c>
      <c r="F18" s="32" t="s">
        <v>120</v>
      </c>
      <c r="G18" s="32" t="s">
        <v>124</v>
      </c>
      <c r="H18" s="38">
        <v>5.0</v>
      </c>
      <c r="I18" s="32" t="s">
        <v>12</v>
      </c>
      <c r="J18" s="34">
        <v>95.0</v>
      </c>
      <c r="K18" s="38">
        <v>4.0</v>
      </c>
      <c r="L18" s="32" t="s">
        <v>425</v>
      </c>
      <c r="M18" s="32" t="s">
        <v>426</v>
      </c>
      <c r="N18" s="39">
        <v>4.56</v>
      </c>
      <c r="O18" s="4"/>
      <c r="P18" s="4"/>
      <c r="Q18" s="4"/>
    </row>
    <row r="19" ht="26.25" customHeight="1">
      <c r="A19" s="32" t="s">
        <v>427</v>
      </c>
      <c r="B19" s="32" t="s">
        <v>273</v>
      </c>
      <c r="C19" s="32" t="s">
        <v>23</v>
      </c>
      <c r="D19" s="32" t="s">
        <v>428</v>
      </c>
      <c r="E19" s="32" t="s">
        <v>429</v>
      </c>
      <c r="F19" s="32" t="s">
        <v>120</v>
      </c>
      <c r="G19" s="32" t="s">
        <v>124</v>
      </c>
      <c r="H19" s="38">
        <v>4.0</v>
      </c>
      <c r="I19" s="32" t="s">
        <v>12</v>
      </c>
      <c r="J19" s="34">
        <v>95.0</v>
      </c>
      <c r="K19" s="38">
        <v>4.0</v>
      </c>
      <c r="L19" s="32" t="s">
        <v>430</v>
      </c>
      <c r="M19" s="32" t="s">
        <v>431</v>
      </c>
      <c r="N19" s="39">
        <v>3.65</v>
      </c>
      <c r="O19" s="4"/>
      <c r="P19" s="4"/>
      <c r="Q19" s="4"/>
    </row>
    <row r="20" ht="26.25" customHeight="1">
      <c r="A20" s="32" t="s">
        <v>432</v>
      </c>
      <c r="B20" s="32" t="s">
        <v>253</v>
      </c>
      <c r="C20" s="32" t="s">
        <v>23</v>
      </c>
      <c r="D20" s="32" t="s">
        <v>433</v>
      </c>
      <c r="E20" s="32" t="s">
        <v>434</v>
      </c>
      <c r="F20" s="32" t="s">
        <v>120</v>
      </c>
      <c r="G20" s="32" t="s">
        <v>124</v>
      </c>
      <c r="H20" s="38">
        <v>3.0</v>
      </c>
      <c r="I20" s="32" t="s">
        <v>12</v>
      </c>
      <c r="J20" s="34">
        <v>100.0</v>
      </c>
      <c r="K20" s="38">
        <v>4.0</v>
      </c>
      <c r="L20" s="32" t="s">
        <v>435</v>
      </c>
      <c r="M20" s="32" t="s">
        <v>436</v>
      </c>
      <c r="N20" s="39">
        <v>2.88</v>
      </c>
      <c r="O20" s="4"/>
      <c r="P20" s="4"/>
      <c r="Q20" s="4"/>
    </row>
    <row r="21" ht="26.25" customHeight="1">
      <c r="A21" s="32" t="s">
        <v>437</v>
      </c>
      <c r="B21" s="32" t="s">
        <v>203</v>
      </c>
      <c r="C21" s="32" t="s">
        <v>15</v>
      </c>
      <c r="D21" s="32" t="s">
        <v>438</v>
      </c>
      <c r="E21" s="32" t="s">
        <v>439</v>
      </c>
      <c r="F21" s="32" t="s">
        <v>124</v>
      </c>
      <c r="G21" s="32" t="s">
        <v>128</v>
      </c>
      <c r="H21" s="38">
        <v>4.0</v>
      </c>
      <c r="I21" s="32" t="s">
        <v>12</v>
      </c>
      <c r="J21" s="34">
        <v>100.0</v>
      </c>
      <c r="K21" s="38">
        <v>5.0</v>
      </c>
      <c r="L21" s="32" t="s">
        <v>440</v>
      </c>
      <c r="M21" s="32" t="s">
        <v>441</v>
      </c>
      <c r="N21" s="39">
        <v>4.8</v>
      </c>
      <c r="O21" s="4"/>
      <c r="P21" s="4"/>
      <c r="Q21" s="4"/>
    </row>
    <row r="22" ht="26.25" customHeight="1">
      <c r="A22" s="32" t="s">
        <v>442</v>
      </c>
      <c r="B22" s="32" t="s">
        <v>253</v>
      </c>
      <c r="C22" s="32" t="s">
        <v>23</v>
      </c>
      <c r="D22" s="32" t="s">
        <v>443</v>
      </c>
      <c r="E22" s="32" t="s">
        <v>444</v>
      </c>
      <c r="F22" s="32" t="s">
        <v>124</v>
      </c>
      <c r="G22" s="32" t="s">
        <v>120</v>
      </c>
      <c r="H22" s="38">
        <v>5.0</v>
      </c>
      <c r="I22" s="32" t="s">
        <v>12</v>
      </c>
      <c r="J22" s="34">
        <v>100.0</v>
      </c>
      <c r="K22" s="38">
        <v>5.0</v>
      </c>
      <c r="L22" s="32" t="s">
        <v>445</v>
      </c>
      <c r="M22" s="32" t="s">
        <v>446</v>
      </c>
      <c r="N22" s="39">
        <v>6.0</v>
      </c>
      <c r="O22" s="4"/>
      <c r="P22" s="4"/>
      <c r="Q22" s="4"/>
    </row>
    <row r="23" ht="26.25" customHeight="1">
      <c r="A23" s="32" t="s">
        <v>447</v>
      </c>
      <c r="B23" s="32" t="s">
        <v>248</v>
      </c>
      <c r="C23" s="32" t="s">
        <v>23</v>
      </c>
      <c r="D23" s="32" t="s">
        <v>448</v>
      </c>
      <c r="E23" s="32" t="s">
        <v>449</v>
      </c>
      <c r="F23" s="32" t="s">
        <v>124</v>
      </c>
      <c r="G23" s="32" t="s">
        <v>128</v>
      </c>
      <c r="H23" s="38">
        <v>4.0</v>
      </c>
      <c r="I23" s="32" t="s">
        <v>12</v>
      </c>
      <c r="J23" s="34">
        <v>100.0</v>
      </c>
      <c r="K23" s="38">
        <v>5.0</v>
      </c>
      <c r="L23" s="32" t="s">
        <v>445</v>
      </c>
      <c r="M23" s="32" t="s">
        <v>450</v>
      </c>
      <c r="N23" s="39">
        <v>4.8</v>
      </c>
      <c r="O23" s="4"/>
      <c r="P23" s="4"/>
      <c r="Q23" s="4"/>
    </row>
    <row r="24" ht="26.25" customHeight="1">
      <c r="A24" s="32" t="s">
        <v>451</v>
      </c>
      <c r="B24" s="32" t="s">
        <v>288</v>
      </c>
      <c r="C24" s="32" t="s">
        <v>23</v>
      </c>
      <c r="D24" s="32" t="s">
        <v>452</v>
      </c>
      <c r="E24" s="32" t="s">
        <v>453</v>
      </c>
      <c r="F24" s="32" t="s">
        <v>124</v>
      </c>
      <c r="G24" s="32" t="s">
        <v>128</v>
      </c>
      <c r="H24" s="38">
        <v>5.0</v>
      </c>
      <c r="I24" s="32" t="s">
        <v>12</v>
      </c>
      <c r="J24" s="34">
        <v>100.0</v>
      </c>
      <c r="K24" s="38">
        <v>5.0</v>
      </c>
      <c r="L24" s="32" t="s">
        <v>454</v>
      </c>
      <c r="M24" s="32" t="s">
        <v>455</v>
      </c>
      <c r="N24" s="39">
        <v>6.0</v>
      </c>
      <c r="O24" s="4"/>
      <c r="P24" s="4"/>
      <c r="Q24" s="4"/>
    </row>
    <row r="25" ht="26.25" customHeight="1">
      <c r="A25" s="32" t="s">
        <v>456</v>
      </c>
      <c r="B25" s="32" t="s">
        <v>303</v>
      </c>
      <c r="C25" s="32" t="s">
        <v>23</v>
      </c>
      <c r="D25" s="32" t="s">
        <v>457</v>
      </c>
      <c r="E25" s="32" t="s">
        <v>458</v>
      </c>
      <c r="F25" s="32" t="s">
        <v>124</v>
      </c>
      <c r="G25" s="32" t="s">
        <v>128</v>
      </c>
      <c r="H25" s="38">
        <v>4.0</v>
      </c>
      <c r="I25" s="32" t="s">
        <v>12</v>
      </c>
      <c r="J25" s="34">
        <v>100.0</v>
      </c>
      <c r="K25" s="38">
        <v>5.0</v>
      </c>
      <c r="L25" s="32" t="s">
        <v>454</v>
      </c>
      <c r="M25" s="32" t="s">
        <v>459</v>
      </c>
      <c r="N25" s="39">
        <v>4.8</v>
      </c>
      <c r="O25" s="4"/>
      <c r="P25" s="4"/>
      <c r="Q25" s="4"/>
    </row>
    <row r="26" ht="26.25" customHeight="1">
      <c r="A26" s="32" t="s">
        <v>460</v>
      </c>
      <c r="B26" s="32" t="s">
        <v>278</v>
      </c>
      <c r="C26" s="32" t="s">
        <v>23</v>
      </c>
      <c r="D26" s="32" t="s">
        <v>461</v>
      </c>
      <c r="E26" s="32" t="s">
        <v>462</v>
      </c>
      <c r="F26" s="32" t="s">
        <v>124</v>
      </c>
      <c r="G26" s="32" t="s">
        <v>120</v>
      </c>
      <c r="H26" s="38">
        <v>5.0</v>
      </c>
      <c r="I26" s="32" t="s">
        <v>12</v>
      </c>
      <c r="J26" s="34">
        <v>100.0</v>
      </c>
      <c r="K26" s="38">
        <v>5.0</v>
      </c>
      <c r="L26" s="32" t="s">
        <v>463</v>
      </c>
      <c r="M26" s="32" t="s">
        <v>464</v>
      </c>
      <c r="N26" s="39">
        <v>6.0</v>
      </c>
      <c r="O26" s="4"/>
      <c r="P26" s="4"/>
      <c r="Q26" s="4"/>
    </row>
    <row r="27" ht="26.25" customHeight="1">
      <c r="A27" s="32" t="s">
        <v>465</v>
      </c>
      <c r="B27" s="32" t="s">
        <v>253</v>
      </c>
      <c r="C27" s="32" t="s">
        <v>23</v>
      </c>
      <c r="D27" s="32" t="s">
        <v>466</v>
      </c>
      <c r="E27" s="32" t="s">
        <v>467</v>
      </c>
      <c r="F27" s="32" t="s">
        <v>124</v>
      </c>
      <c r="G27" s="32" t="s">
        <v>120</v>
      </c>
      <c r="H27" s="38">
        <v>4.0</v>
      </c>
      <c r="I27" s="32" t="s">
        <v>12</v>
      </c>
      <c r="J27" s="34">
        <v>100.0</v>
      </c>
      <c r="K27" s="38">
        <v>4.0</v>
      </c>
      <c r="L27" s="32" t="s">
        <v>468</v>
      </c>
      <c r="M27" s="32" t="s">
        <v>469</v>
      </c>
      <c r="N27" s="39">
        <v>3.84</v>
      </c>
      <c r="O27" s="4"/>
      <c r="P27" s="4"/>
      <c r="Q27" s="4"/>
    </row>
    <row r="28" ht="26.25" customHeight="1">
      <c r="A28" s="32" t="s">
        <v>470</v>
      </c>
      <c r="B28" s="32" t="s">
        <v>273</v>
      </c>
      <c r="C28" s="32" t="s">
        <v>23</v>
      </c>
      <c r="D28" s="32" t="s">
        <v>471</v>
      </c>
      <c r="E28" s="32" t="s">
        <v>472</v>
      </c>
      <c r="F28" s="32" t="s">
        <v>124</v>
      </c>
      <c r="G28" s="32" t="s">
        <v>120</v>
      </c>
      <c r="H28" s="38">
        <v>4.0</v>
      </c>
      <c r="I28" s="32" t="s">
        <v>12</v>
      </c>
      <c r="J28" s="34">
        <v>100.0</v>
      </c>
      <c r="K28" s="38">
        <v>5.0</v>
      </c>
      <c r="L28" s="32" t="s">
        <v>473</v>
      </c>
      <c r="M28" s="32" t="s">
        <v>474</v>
      </c>
      <c r="N28" s="39">
        <v>3.84</v>
      </c>
      <c r="O28" s="4"/>
      <c r="P28" s="4"/>
      <c r="Q28" s="4"/>
    </row>
    <row r="29" ht="26.25" customHeight="1">
      <c r="A29" s="32" t="s">
        <v>475</v>
      </c>
      <c r="B29" s="32" t="s">
        <v>253</v>
      </c>
      <c r="C29" s="32" t="s">
        <v>23</v>
      </c>
      <c r="D29" s="32" t="s">
        <v>476</v>
      </c>
      <c r="E29" s="32" t="s">
        <v>477</v>
      </c>
      <c r="F29" s="32" t="s">
        <v>124</v>
      </c>
      <c r="G29" s="32" t="s">
        <v>128</v>
      </c>
      <c r="H29" s="38">
        <v>5.0</v>
      </c>
      <c r="I29" s="32" t="s">
        <v>12</v>
      </c>
      <c r="J29" s="34">
        <v>100.0</v>
      </c>
      <c r="K29" s="38">
        <v>5.0</v>
      </c>
      <c r="L29" s="32" t="s">
        <v>478</v>
      </c>
      <c r="M29" s="32" t="s">
        <v>479</v>
      </c>
      <c r="N29" s="39">
        <v>6.0</v>
      </c>
      <c r="O29" s="4"/>
      <c r="P29" s="4"/>
      <c r="Q29" s="4"/>
    </row>
    <row r="30" ht="26.25" customHeight="1">
      <c r="A30" s="32" t="s">
        <v>480</v>
      </c>
      <c r="B30" s="32" t="s">
        <v>158</v>
      </c>
      <c r="C30" s="32" t="s">
        <v>15</v>
      </c>
      <c r="D30" s="32" t="s">
        <v>481</v>
      </c>
      <c r="E30" s="32" t="s">
        <v>482</v>
      </c>
      <c r="F30" s="32" t="s">
        <v>128</v>
      </c>
      <c r="G30" s="32" t="s">
        <v>120</v>
      </c>
      <c r="H30" s="38">
        <v>5.0</v>
      </c>
      <c r="I30" s="32" t="s">
        <v>12</v>
      </c>
      <c r="J30" s="34">
        <v>100.0</v>
      </c>
      <c r="K30" s="38">
        <v>5.0</v>
      </c>
      <c r="L30" s="32" t="s">
        <v>483</v>
      </c>
      <c r="M30" s="32" t="s">
        <v>484</v>
      </c>
      <c r="N30" s="39">
        <v>6.0</v>
      </c>
      <c r="O30" s="4"/>
      <c r="P30" s="4"/>
      <c r="Q30" s="4"/>
    </row>
    <row r="31" ht="26.25" customHeight="1">
      <c r="A31" s="32" t="s">
        <v>485</v>
      </c>
      <c r="B31" s="32" t="s">
        <v>163</v>
      </c>
      <c r="C31" s="32" t="s">
        <v>15</v>
      </c>
      <c r="D31" s="32" t="s">
        <v>486</v>
      </c>
      <c r="E31" s="32" t="s">
        <v>487</v>
      </c>
      <c r="F31" s="32" t="s">
        <v>128</v>
      </c>
      <c r="G31" s="32" t="s">
        <v>116</v>
      </c>
      <c r="H31" s="38">
        <v>4.0</v>
      </c>
      <c r="I31" s="32" t="s">
        <v>12</v>
      </c>
      <c r="J31" s="34">
        <v>100.0</v>
      </c>
      <c r="K31" s="38">
        <v>5.0</v>
      </c>
      <c r="L31" s="32" t="s">
        <v>488</v>
      </c>
      <c r="M31" s="32" t="s">
        <v>489</v>
      </c>
      <c r="N31" s="39">
        <v>4.8</v>
      </c>
      <c r="O31" s="4"/>
      <c r="P31" s="4"/>
      <c r="Q31" s="4"/>
    </row>
    <row r="32" ht="26.25" customHeight="1">
      <c r="A32" s="32" t="s">
        <v>490</v>
      </c>
      <c r="B32" s="32" t="s">
        <v>173</v>
      </c>
      <c r="C32" s="32" t="s">
        <v>15</v>
      </c>
      <c r="D32" s="32" t="s">
        <v>491</v>
      </c>
      <c r="E32" s="32" t="s">
        <v>492</v>
      </c>
      <c r="F32" s="32" t="s">
        <v>128</v>
      </c>
      <c r="G32" s="32" t="s">
        <v>124</v>
      </c>
      <c r="H32" s="38">
        <v>4.0</v>
      </c>
      <c r="I32" s="32" t="s">
        <v>12</v>
      </c>
      <c r="J32" s="34">
        <v>100.0</v>
      </c>
      <c r="K32" s="38">
        <v>5.0</v>
      </c>
      <c r="L32" s="32" t="s">
        <v>493</v>
      </c>
      <c r="M32" s="32" t="s">
        <v>494</v>
      </c>
      <c r="N32" s="39">
        <v>4.8</v>
      </c>
      <c r="O32" s="4"/>
      <c r="P32" s="4"/>
      <c r="Q32" s="4"/>
    </row>
    <row r="33" ht="26.25" customHeight="1">
      <c r="A33" s="32" t="s">
        <v>495</v>
      </c>
      <c r="B33" s="32" t="s">
        <v>233</v>
      </c>
      <c r="C33" s="32" t="s">
        <v>23</v>
      </c>
      <c r="D33" s="32" t="s">
        <v>496</v>
      </c>
      <c r="E33" s="32" t="s">
        <v>497</v>
      </c>
      <c r="F33" s="32" t="s">
        <v>128</v>
      </c>
      <c r="G33" s="32" t="s">
        <v>124</v>
      </c>
      <c r="H33" s="38">
        <v>5.0</v>
      </c>
      <c r="I33" s="32" t="s">
        <v>12</v>
      </c>
      <c r="J33" s="34">
        <v>100.0</v>
      </c>
      <c r="K33" s="38">
        <v>5.0</v>
      </c>
      <c r="L33" s="32" t="s">
        <v>498</v>
      </c>
      <c r="M33" s="32" t="s">
        <v>499</v>
      </c>
      <c r="N33" s="39">
        <v>6.0</v>
      </c>
      <c r="O33" s="4"/>
      <c r="P33" s="4"/>
      <c r="Q33" s="4"/>
    </row>
    <row r="34" ht="26.25" customHeight="1">
      <c r="A34" s="32" t="s">
        <v>500</v>
      </c>
      <c r="B34" s="32" t="s">
        <v>293</v>
      </c>
      <c r="C34" s="32" t="s">
        <v>23</v>
      </c>
      <c r="D34" s="32" t="s">
        <v>501</v>
      </c>
      <c r="E34" s="32" t="s">
        <v>502</v>
      </c>
      <c r="F34" s="32" t="s">
        <v>128</v>
      </c>
      <c r="G34" s="32" t="s">
        <v>116</v>
      </c>
      <c r="H34" s="38">
        <v>5.0</v>
      </c>
      <c r="I34" s="32" t="s">
        <v>12</v>
      </c>
      <c r="J34" s="34">
        <v>100.0</v>
      </c>
      <c r="K34" s="38">
        <v>5.0</v>
      </c>
      <c r="L34" s="32" t="s">
        <v>503</v>
      </c>
      <c r="M34" s="32" t="s">
        <v>504</v>
      </c>
      <c r="N34" s="39">
        <v>6.0</v>
      </c>
      <c r="O34" s="4"/>
      <c r="P34" s="4"/>
      <c r="Q34" s="4"/>
    </row>
    <row r="35" ht="26.25" customHeight="1">
      <c r="A35" s="32" t="s">
        <v>505</v>
      </c>
      <c r="B35" s="32" t="s">
        <v>298</v>
      </c>
      <c r="C35" s="32" t="s">
        <v>23</v>
      </c>
      <c r="D35" s="32" t="s">
        <v>506</v>
      </c>
      <c r="E35" s="32" t="s">
        <v>507</v>
      </c>
      <c r="F35" s="32" t="s">
        <v>128</v>
      </c>
      <c r="G35" s="32" t="s">
        <v>116</v>
      </c>
      <c r="H35" s="38">
        <v>5.0</v>
      </c>
      <c r="I35" s="32" t="s">
        <v>12</v>
      </c>
      <c r="J35" s="34">
        <v>100.0</v>
      </c>
      <c r="K35" s="38">
        <v>5.0</v>
      </c>
      <c r="L35" s="32" t="s">
        <v>503</v>
      </c>
      <c r="M35" s="32" t="s">
        <v>508</v>
      </c>
      <c r="N35" s="39">
        <v>6.0</v>
      </c>
      <c r="O35" s="4"/>
      <c r="P35" s="4"/>
      <c r="Q35" s="4"/>
    </row>
    <row r="36" ht="26.25" customHeight="1">
      <c r="A36" s="32" t="s">
        <v>509</v>
      </c>
      <c r="B36" s="32" t="s">
        <v>238</v>
      </c>
      <c r="C36" s="32" t="s">
        <v>23</v>
      </c>
      <c r="D36" s="32" t="s">
        <v>510</v>
      </c>
      <c r="E36" s="32" t="s">
        <v>511</v>
      </c>
      <c r="F36" s="32" t="s">
        <v>128</v>
      </c>
      <c r="G36" s="32" t="s">
        <v>116</v>
      </c>
      <c r="H36" s="38">
        <v>5.0</v>
      </c>
      <c r="I36" s="32" t="s">
        <v>12</v>
      </c>
      <c r="J36" s="34">
        <v>100.0</v>
      </c>
      <c r="K36" s="38">
        <v>5.0</v>
      </c>
      <c r="L36" s="32" t="s">
        <v>512</v>
      </c>
      <c r="M36" s="32" t="s">
        <v>513</v>
      </c>
      <c r="N36" s="39">
        <v>6.0</v>
      </c>
      <c r="O36" s="4"/>
      <c r="P36" s="4"/>
      <c r="Q36" s="4"/>
    </row>
    <row r="37" ht="26.25" customHeight="1">
      <c r="A37" s="32" t="s">
        <v>514</v>
      </c>
      <c r="B37" s="32" t="s">
        <v>238</v>
      </c>
      <c r="C37" s="32" t="s">
        <v>23</v>
      </c>
      <c r="D37" s="32" t="s">
        <v>515</v>
      </c>
      <c r="E37" s="32" t="s">
        <v>516</v>
      </c>
      <c r="F37" s="32" t="s">
        <v>128</v>
      </c>
      <c r="G37" s="32" t="s">
        <v>124</v>
      </c>
      <c r="H37" s="38">
        <v>4.0</v>
      </c>
      <c r="I37" s="32" t="s">
        <v>12</v>
      </c>
      <c r="J37" s="34">
        <v>100.0</v>
      </c>
      <c r="K37" s="38">
        <v>5.0</v>
      </c>
      <c r="L37" s="32" t="s">
        <v>517</v>
      </c>
      <c r="M37" s="32" t="s">
        <v>518</v>
      </c>
      <c r="N37" s="39">
        <v>4.8</v>
      </c>
      <c r="O37" s="4"/>
      <c r="P37" s="4"/>
      <c r="Q37" s="4"/>
    </row>
    <row r="38" ht="26.25" customHeight="1">
      <c r="A38" s="32" t="s">
        <v>519</v>
      </c>
      <c r="B38" s="32" t="s">
        <v>248</v>
      </c>
      <c r="C38" s="32" t="s">
        <v>23</v>
      </c>
      <c r="D38" s="32" t="s">
        <v>520</v>
      </c>
      <c r="E38" s="32" t="s">
        <v>521</v>
      </c>
      <c r="F38" s="32" t="s">
        <v>128</v>
      </c>
      <c r="G38" s="32" t="s">
        <v>124</v>
      </c>
      <c r="H38" s="38">
        <v>4.0</v>
      </c>
      <c r="I38" s="32" t="s">
        <v>12</v>
      </c>
      <c r="J38" s="34">
        <v>100.0</v>
      </c>
      <c r="K38" s="38">
        <v>5.0</v>
      </c>
      <c r="L38" s="32" t="s">
        <v>522</v>
      </c>
      <c r="M38" s="32" t="s">
        <v>523</v>
      </c>
      <c r="N38" s="39">
        <v>4.8</v>
      </c>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sheetData>
  <mergeCells count="2">
    <mergeCell ref="A1:N1"/>
    <mergeCell ref="A3:N3"/>
  </mergeCells>
  <dataValidations>
    <dataValidation type="list" allowBlank="1" sqref="K6:K38">
      <formula1>'09_DanhMuc'!$D$3:$D$7</formula1>
    </dataValidation>
    <dataValidation type="decimal" allowBlank="1" sqref="J6:J38">
      <formula1>0.0</formula1>
      <formula2>100.0</formula2>
    </dataValidation>
    <dataValidation type="list" allowBlank="1" sqref="C6:C38">
      <formula1>'09_DanhMuc'!$G$3:$G$7</formula1>
    </dataValidation>
    <dataValidation type="list" allowBlank="1" sqref="H6:H38">
      <formula1>'09_DanhMuc'!$C$3:$C$7</formula1>
    </dataValidation>
    <dataValidation type="list" allowBlank="1" sqref="I6:I38">
      <formula1>'09_DanhMuc'!$B$3:$B$5</formula1>
    </dataValidation>
    <dataValidation type="list" allowBlank="1" sqref="B6:B38">
      <formula1>'02_ChecklistYeuCau'!$A$6:$A$43</formula1>
    </dataValidation>
    <dataValidation type="list" allowBlank="1" sqref="F6:G38">
      <formula1>'01_ThongTinNhom'!$B$16:$B$19</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25.0"/>
    <col customWidth="1" min="4" max="4" width="14.0"/>
    <col customWidth="1" min="5" max="5" width="13.0"/>
    <col customWidth="1" min="6" max="6" width="16.0"/>
    <col customWidth="1" min="7" max="7" width="19.0"/>
    <col customWidth="1" min="8" max="8" width="13.0"/>
    <col customWidth="1" min="9" max="9" width="22.0"/>
    <col customWidth="1" min="10" max="10" width="11.0"/>
    <col customWidth="1" min="11" max="11" width="168.13"/>
    <col customWidth="1" min="12" max="12" width="59.0"/>
    <col customWidth="1" min="13" max="13" width="12.0"/>
    <col customWidth="1" min="14" max="26" width="8.63"/>
  </cols>
  <sheetData>
    <row r="1" ht="15.0" customHeight="1">
      <c r="A1" s="1" t="s">
        <v>524</v>
      </c>
      <c r="B1" s="2"/>
      <c r="C1" s="2"/>
      <c r="D1" s="2"/>
      <c r="E1" s="2"/>
      <c r="F1" s="2"/>
      <c r="G1" s="2"/>
      <c r="H1" s="2"/>
      <c r="I1" s="2"/>
      <c r="J1" s="2"/>
      <c r="K1" s="2"/>
      <c r="L1" s="2"/>
      <c r="M1" s="3"/>
      <c r="N1" s="4"/>
      <c r="O1" s="4"/>
      <c r="P1" s="4"/>
      <c r="Q1" s="4"/>
    </row>
    <row r="2" ht="13.5" customHeight="1">
      <c r="A2" s="4"/>
      <c r="B2" s="4"/>
      <c r="C2" s="4"/>
      <c r="D2" s="4"/>
      <c r="E2" s="4"/>
      <c r="F2" s="4"/>
      <c r="G2" s="4"/>
      <c r="H2" s="4"/>
      <c r="I2" s="4"/>
      <c r="J2" s="4"/>
      <c r="K2" s="4"/>
      <c r="L2" s="4"/>
      <c r="M2" s="4"/>
      <c r="N2" s="4"/>
      <c r="O2" s="4"/>
      <c r="P2" s="4"/>
      <c r="Q2" s="4"/>
    </row>
    <row r="3" ht="18.0" customHeight="1">
      <c r="A3" s="7" t="s">
        <v>525</v>
      </c>
      <c r="B3" s="2"/>
      <c r="C3" s="2"/>
      <c r="D3" s="2"/>
      <c r="E3" s="2"/>
      <c r="F3" s="2"/>
      <c r="G3" s="2"/>
      <c r="H3" s="2"/>
      <c r="I3" s="2"/>
      <c r="J3" s="2"/>
      <c r="K3" s="2"/>
      <c r="L3" s="2"/>
      <c r="M3" s="3"/>
      <c r="N3" s="4"/>
      <c r="O3" s="4"/>
      <c r="P3" s="4"/>
      <c r="Q3" s="4"/>
    </row>
    <row r="4" ht="13.5" customHeight="1">
      <c r="A4" s="4"/>
      <c r="B4" s="4"/>
      <c r="C4" s="4"/>
      <c r="D4" s="4"/>
      <c r="E4" s="4"/>
      <c r="F4" s="4"/>
      <c r="G4" s="4"/>
      <c r="H4" s="4"/>
      <c r="I4" s="4"/>
      <c r="J4" s="4"/>
      <c r="K4" s="4"/>
      <c r="L4" s="4"/>
      <c r="M4" s="4"/>
      <c r="N4" s="4"/>
      <c r="O4" s="4"/>
      <c r="P4" s="4"/>
      <c r="Q4" s="4"/>
    </row>
    <row r="5" ht="13.5" customHeight="1">
      <c r="A5" s="5" t="s">
        <v>108</v>
      </c>
      <c r="B5" s="5" t="s">
        <v>526</v>
      </c>
      <c r="C5" s="5" t="s">
        <v>527</v>
      </c>
      <c r="D5" s="5" t="s">
        <v>528</v>
      </c>
      <c r="E5" s="5" t="s">
        <v>529</v>
      </c>
      <c r="F5" s="5" t="s">
        <v>530</v>
      </c>
      <c r="G5" s="5" t="s">
        <v>531</v>
      </c>
      <c r="H5" s="5" t="s">
        <v>532</v>
      </c>
      <c r="I5" s="5" t="s">
        <v>533</v>
      </c>
      <c r="J5" s="5" t="s">
        <v>534</v>
      </c>
      <c r="K5" s="5" t="s">
        <v>535</v>
      </c>
      <c r="L5" s="5" t="s">
        <v>536</v>
      </c>
      <c r="M5" s="5" t="s">
        <v>537</v>
      </c>
      <c r="N5" s="4"/>
      <c r="O5" s="4"/>
      <c r="P5" s="4"/>
      <c r="Q5" s="4"/>
    </row>
    <row r="6">
      <c r="A6" s="40">
        <v>1.0</v>
      </c>
      <c r="B6" s="32" t="s">
        <v>116</v>
      </c>
      <c r="C6" s="32" t="s">
        <v>120</v>
      </c>
      <c r="D6" s="38">
        <v>5.0</v>
      </c>
      <c r="E6" s="38">
        <v>5.0</v>
      </c>
      <c r="F6" s="38">
        <v>5.0</v>
      </c>
      <c r="G6" s="38">
        <v>5.0</v>
      </c>
      <c r="H6" s="38">
        <v>4.0</v>
      </c>
      <c r="I6" s="38">
        <v>5.0</v>
      </c>
      <c r="J6" s="39">
        <v>4.83</v>
      </c>
      <c r="K6" s="32" t="s">
        <v>538</v>
      </c>
      <c r="L6" s="32" t="s">
        <v>539</v>
      </c>
      <c r="M6" s="17" t="s">
        <v>13</v>
      </c>
      <c r="N6" s="4"/>
      <c r="O6" s="4"/>
      <c r="P6" s="4"/>
      <c r="Q6" s="4"/>
    </row>
    <row r="7">
      <c r="A7" s="40">
        <v>2.0</v>
      </c>
      <c r="B7" s="32" t="s">
        <v>116</v>
      </c>
      <c r="C7" s="32" t="s">
        <v>124</v>
      </c>
      <c r="D7" s="38">
        <v>5.0</v>
      </c>
      <c r="E7" s="38">
        <v>5.0</v>
      </c>
      <c r="F7" s="38">
        <v>5.0</v>
      </c>
      <c r="G7" s="38">
        <v>5.0</v>
      </c>
      <c r="H7" s="38">
        <v>5.0</v>
      </c>
      <c r="I7" s="38">
        <v>4.0</v>
      </c>
      <c r="J7" s="39">
        <v>4.83</v>
      </c>
      <c r="K7" s="32" t="s">
        <v>540</v>
      </c>
      <c r="L7" s="32" t="s">
        <v>541</v>
      </c>
      <c r="M7" s="17" t="s">
        <v>13</v>
      </c>
      <c r="N7" s="4"/>
      <c r="O7" s="4"/>
      <c r="P7" s="4"/>
      <c r="Q7" s="4"/>
    </row>
    <row r="8">
      <c r="A8" s="40">
        <v>3.0</v>
      </c>
      <c r="B8" s="32" t="s">
        <v>116</v>
      </c>
      <c r="C8" s="32" t="s">
        <v>128</v>
      </c>
      <c r="D8" s="38">
        <v>5.0</v>
      </c>
      <c r="E8" s="38">
        <v>5.0</v>
      </c>
      <c r="F8" s="38">
        <v>5.0</v>
      </c>
      <c r="G8" s="38">
        <v>5.0</v>
      </c>
      <c r="H8" s="38">
        <v>4.0</v>
      </c>
      <c r="I8" s="38">
        <v>5.0</v>
      </c>
      <c r="J8" s="39">
        <v>4.83</v>
      </c>
      <c r="K8" s="32" t="s">
        <v>542</v>
      </c>
      <c r="L8" s="32" t="s">
        <v>543</v>
      </c>
      <c r="M8" s="17" t="s">
        <v>13</v>
      </c>
      <c r="N8" s="4"/>
      <c r="O8" s="4"/>
      <c r="P8" s="4"/>
      <c r="Q8" s="4"/>
    </row>
    <row r="9">
      <c r="A9" s="40">
        <v>4.0</v>
      </c>
      <c r="B9" s="32" t="s">
        <v>120</v>
      </c>
      <c r="C9" s="32" t="s">
        <v>116</v>
      </c>
      <c r="D9" s="38">
        <v>5.0</v>
      </c>
      <c r="E9" s="38">
        <v>5.0</v>
      </c>
      <c r="F9" s="38">
        <v>5.0</v>
      </c>
      <c r="G9" s="38">
        <v>5.0</v>
      </c>
      <c r="H9" s="38">
        <v>4.0</v>
      </c>
      <c r="I9" s="38">
        <v>5.0</v>
      </c>
      <c r="J9" s="39">
        <v>4.83</v>
      </c>
      <c r="K9" s="32" t="s">
        <v>544</v>
      </c>
      <c r="L9" s="32" t="s">
        <v>545</v>
      </c>
      <c r="M9" s="17" t="s">
        <v>13</v>
      </c>
      <c r="N9" s="4"/>
      <c r="O9" s="4"/>
      <c r="P9" s="4"/>
      <c r="Q9" s="4"/>
    </row>
    <row r="10">
      <c r="A10" s="40">
        <v>5.0</v>
      </c>
      <c r="B10" s="32" t="s">
        <v>120</v>
      </c>
      <c r="C10" s="32" t="s">
        <v>124</v>
      </c>
      <c r="D10" s="38">
        <v>5.0</v>
      </c>
      <c r="E10" s="38">
        <v>5.0</v>
      </c>
      <c r="F10" s="38">
        <v>5.0</v>
      </c>
      <c r="G10" s="38">
        <v>5.0</v>
      </c>
      <c r="H10" s="38">
        <v>5.0</v>
      </c>
      <c r="I10" s="38">
        <v>4.0</v>
      </c>
      <c r="J10" s="39">
        <v>4.83</v>
      </c>
      <c r="K10" s="32" t="s">
        <v>546</v>
      </c>
      <c r="L10" s="32" t="s">
        <v>541</v>
      </c>
      <c r="M10" s="17" t="s">
        <v>13</v>
      </c>
      <c r="N10" s="4"/>
      <c r="O10" s="4"/>
      <c r="P10" s="4"/>
      <c r="Q10" s="4"/>
    </row>
    <row r="11">
      <c r="A11" s="40">
        <v>6.0</v>
      </c>
      <c r="B11" s="32" t="s">
        <v>120</v>
      </c>
      <c r="C11" s="32" t="s">
        <v>128</v>
      </c>
      <c r="D11" s="38">
        <v>5.0</v>
      </c>
      <c r="E11" s="38">
        <v>5.0</v>
      </c>
      <c r="F11" s="38">
        <v>5.0</v>
      </c>
      <c r="G11" s="38">
        <v>5.0</v>
      </c>
      <c r="H11" s="38">
        <v>4.0</v>
      </c>
      <c r="I11" s="38">
        <v>5.0</v>
      </c>
      <c r="J11" s="39">
        <v>4.83</v>
      </c>
      <c r="K11" s="32" t="s">
        <v>547</v>
      </c>
      <c r="L11" s="32" t="s">
        <v>543</v>
      </c>
      <c r="M11" s="17" t="s">
        <v>13</v>
      </c>
      <c r="N11" s="4"/>
      <c r="O11" s="4"/>
      <c r="P11" s="4"/>
      <c r="Q11" s="4"/>
    </row>
    <row r="12">
      <c r="A12" s="40">
        <v>7.0</v>
      </c>
      <c r="B12" s="32" t="s">
        <v>124</v>
      </c>
      <c r="C12" s="32" t="s">
        <v>116</v>
      </c>
      <c r="D12" s="38">
        <v>5.0</v>
      </c>
      <c r="E12" s="38">
        <v>4.0</v>
      </c>
      <c r="F12" s="38">
        <v>5.0</v>
      </c>
      <c r="G12" s="38">
        <v>5.0</v>
      </c>
      <c r="H12" s="38">
        <v>5.0</v>
      </c>
      <c r="I12" s="38">
        <v>5.0</v>
      </c>
      <c r="J12" s="39">
        <v>4.83</v>
      </c>
      <c r="K12" s="32" t="s">
        <v>548</v>
      </c>
      <c r="L12" s="32" t="s">
        <v>545</v>
      </c>
      <c r="M12" s="17" t="s">
        <v>13</v>
      </c>
      <c r="N12" s="4"/>
      <c r="O12" s="4"/>
      <c r="P12" s="4"/>
      <c r="Q12" s="4"/>
    </row>
    <row r="13">
      <c r="A13" s="40">
        <v>8.0</v>
      </c>
      <c r="B13" s="32" t="s">
        <v>124</v>
      </c>
      <c r="C13" s="32" t="s">
        <v>120</v>
      </c>
      <c r="D13" s="38">
        <v>5.0</v>
      </c>
      <c r="E13" s="38">
        <v>5.0</v>
      </c>
      <c r="F13" s="38">
        <v>5.0</v>
      </c>
      <c r="G13" s="38">
        <v>5.0</v>
      </c>
      <c r="H13" s="38">
        <v>4.0</v>
      </c>
      <c r="I13" s="38">
        <v>5.0</v>
      </c>
      <c r="J13" s="39">
        <v>4.67</v>
      </c>
      <c r="K13" s="32" t="s">
        <v>549</v>
      </c>
      <c r="L13" s="32" t="s">
        <v>539</v>
      </c>
      <c r="M13" s="17" t="s">
        <v>13</v>
      </c>
      <c r="N13" s="4"/>
      <c r="O13" s="4"/>
      <c r="P13" s="4"/>
      <c r="Q13" s="4"/>
    </row>
    <row r="14">
      <c r="A14" s="40">
        <v>9.0</v>
      </c>
      <c r="B14" s="32" t="s">
        <v>124</v>
      </c>
      <c r="C14" s="32" t="s">
        <v>128</v>
      </c>
      <c r="D14" s="38">
        <v>5.0</v>
      </c>
      <c r="E14" s="38">
        <v>5.0</v>
      </c>
      <c r="F14" s="38">
        <v>5.0</v>
      </c>
      <c r="G14" s="38">
        <v>5.0</v>
      </c>
      <c r="H14" s="38">
        <v>5.0</v>
      </c>
      <c r="I14" s="38">
        <v>4.0</v>
      </c>
      <c r="J14" s="39">
        <v>4.83</v>
      </c>
      <c r="K14" s="32" t="s">
        <v>550</v>
      </c>
      <c r="L14" s="32" t="s">
        <v>543</v>
      </c>
      <c r="M14" s="17" t="s">
        <v>13</v>
      </c>
      <c r="N14" s="4"/>
      <c r="O14" s="4"/>
      <c r="P14" s="4"/>
      <c r="Q14" s="4"/>
    </row>
    <row r="15">
      <c r="A15" s="40">
        <v>10.0</v>
      </c>
      <c r="B15" s="32" t="s">
        <v>128</v>
      </c>
      <c r="C15" s="32" t="s">
        <v>116</v>
      </c>
      <c r="D15" s="38">
        <v>5.0</v>
      </c>
      <c r="E15" s="38">
        <v>5.0</v>
      </c>
      <c r="F15" s="38">
        <v>5.0</v>
      </c>
      <c r="G15" s="38">
        <v>5.0</v>
      </c>
      <c r="H15" s="38">
        <v>4.0</v>
      </c>
      <c r="I15" s="38">
        <v>5.0</v>
      </c>
      <c r="J15" s="39">
        <v>4.83</v>
      </c>
      <c r="K15" s="32" t="s">
        <v>551</v>
      </c>
      <c r="L15" s="32" t="s">
        <v>545</v>
      </c>
      <c r="M15" s="17" t="s">
        <v>13</v>
      </c>
      <c r="N15" s="4"/>
      <c r="O15" s="4"/>
      <c r="P15" s="4"/>
      <c r="Q15" s="4"/>
    </row>
    <row r="16">
      <c r="A16" s="40">
        <v>11.0</v>
      </c>
      <c r="B16" s="32" t="s">
        <v>128</v>
      </c>
      <c r="C16" s="32" t="s">
        <v>120</v>
      </c>
      <c r="D16" s="38">
        <v>5.0</v>
      </c>
      <c r="E16" s="38">
        <v>5.0</v>
      </c>
      <c r="F16" s="38">
        <v>5.0</v>
      </c>
      <c r="G16" s="38">
        <v>5.0</v>
      </c>
      <c r="H16" s="38">
        <v>4.0</v>
      </c>
      <c r="I16" s="38">
        <v>5.0</v>
      </c>
      <c r="J16" s="39">
        <v>4.83</v>
      </c>
      <c r="K16" s="32" t="s">
        <v>552</v>
      </c>
      <c r="L16" s="32" t="s">
        <v>539</v>
      </c>
      <c r="M16" s="17" t="s">
        <v>13</v>
      </c>
      <c r="N16" s="4"/>
      <c r="O16" s="4"/>
      <c r="P16" s="4"/>
      <c r="Q16" s="4"/>
    </row>
    <row r="17">
      <c r="A17" s="40">
        <v>12.0</v>
      </c>
      <c r="B17" s="32" t="s">
        <v>128</v>
      </c>
      <c r="C17" s="32" t="s">
        <v>124</v>
      </c>
      <c r="D17" s="38">
        <v>5.0</v>
      </c>
      <c r="E17" s="38">
        <v>5.0</v>
      </c>
      <c r="F17" s="38">
        <v>5.0</v>
      </c>
      <c r="G17" s="38">
        <v>5.0</v>
      </c>
      <c r="H17" s="38">
        <v>5.0</v>
      </c>
      <c r="I17" s="38">
        <v>4.0</v>
      </c>
      <c r="J17" s="39">
        <v>4.83</v>
      </c>
      <c r="K17" s="32" t="s">
        <v>553</v>
      </c>
      <c r="L17" s="32" t="s">
        <v>541</v>
      </c>
      <c r="M17" s="17" t="s">
        <v>13</v>
      </c>
      <c r="N17" s="4"/>
      <c r="O17" s="4"/>
      <c r="P17" s="4"/>
      <c r="Q17" s="4"/>
    </row>
    <row r="18" ht="13.5" customHeight="1">
      <c r="A18" s="4"/>
      <c r="B18" s="4"/>
      <c r="C18" s="4"/>
      <c r="D18" s="4"/>
      <c r="E18" s="4"/>
      <c r="F18" s="4"/>
      <c r="G18" s="4"/>
      <c r="H18" s="4"/>
      <c r="I18" s="4"/>
      <c r="J18" s="4"/>
      <c r="K18" s="4"/>
      <c r="L18" s="4"/>
      <c r="M18" s="4"/>
      <c r="N18" s="4"/>
      <c r="O18" s="4"/>
      <c r="P18" s="4"/>
      <c r="Q18" s="4"/>
    </row>
    <row r="19" ht="13.5" customHeight="1">
      <c r="A19" s="4"/>
      <c r="B19" s="4"/>
      <c r="C19" s="4"/>
      <c r="D19" s="4"/>
      <c r="E19" s="4"/>
      <c r="F19" s="4"/>
      <c r="G19" s="4"/>
      <c r="H19" s="4"/>
      <c r="I19" s="4"/>
      <c r="J19" s="4"/>
      <c r="K19" s="4"/>
      <c r="L19" s="4"/>
      <c r="M19" s="4"/>
      <c r="N19" s="4"/>
      <c r="O19" s="4"/>
      <c r="P19" s="4"/>
      <c r="Q19" s="4"/>
    </row>
    <row r="20" ht="13.5" customHeight="1">
      <c r="A20" s="4"/>
      <c r="B20" s="4"/>
      <c r="C20" s="4"/>
      <c r="D20" s="4"/>
      <c r="E20" s="4"/>
      <c r="F20" s="4"/>
      <c r="G20" s="4"/>
      <c r="H20" s="4"/>
      <c r="I20" s="4"/>
      <c r="J20" s="4"/>
      <c r="K20" s="4"/>
      <c r="L20" s="4"/>
      <c r="M20" s="4"/>
      <c r="N20" s="4"/>
      <c r="O20" s="4"/>
      <c r="P20" s="4"/>
      <c r="Q20" s="4"/>
    </row>
    <row r="21" ht="13.5" customHeight="1">
      <c r="A21" s="4"/>
      <c r="B21" s="4"/>
      <c r="C21" s="4"/>
      <c r="D21" s="4"/>
      <c r="E21" s="4"/>
      <c r="F21" s="4"/>
      <c r="G21" s="4"/>
      <c r="H21" s="4"/>
      <c r="I21" s="4"/>
      <c r="J21" s="4"/>
      <c r="K21" s="4"/>
      <c r="L21" s="4"/>
      <c r="M21" s="4"/>
      <c r="N21" s="4"/>
      <c r="O21" s="4"/>
      <c r="P21" s="4"/>
      <c r="Q21" s="4"/>
    </row>
    <row r="22" ht="13.5" customHeight="1">
      <c r="A22" s="4"/>
      <c r="B22" s="4"/>
      <c r="C22" s="4"/>
      <c r="D22" s="4"/>
      <c r="E22" s="4"/>
      <c r="F22" s="4"/>
      <c r="G22" s="4"/>
      <c r="H22" s="4"/>
      <c r="I22" s="4"/>
      <c r="J22" s="4"/>
      <c r="K22" s="4"/>
      <c r="L22" s="4"/>
      <c r="M22" s="4"/>
      <c r="N22" s="4"/>
      <c r="O22" s="4"/>
      <c r="P22" s="4"/>
      <c r="Q22" s="4"/>
    </row>
    <row r="23" ht="13.5" customHeight="1">
      <c r="A23" s="4"/>
      <c r="B23" s="4"/>
      <c r="C23" s="4"/>
      <c r="D23" s="4"/>
      <c r="E23" s="4"/>
      <c r="F23" s="4"/>
      <c r="G23" s="4"/>
      <c r="H23" s="4"/>
      <c r="I23" s="4"/>
      <c r="J23" s="4"/>
      <c r="K23" s="4"/>
      <c r="L23" s="4"/>
      <c r="M23" s="4"/>
      <c r="N23" s="4"/>
      <c r="O23" s="4"/>
      <c r="P23" s="4"/>
      <c r="Q23" s="4"/>
    </row>
    <row r="24" ht="13.5" customHeight="1">
      <c r="A24" s="4"/>
      <c r="B24" s="4"/>
      <c r="C24" s="4"/>
      <c r="D24" s="4"/>
      <c r="E24" s="4"/>
      <c r="F24" s="4"/>
      <c r="G24" s="4"/>
      <c r="H24" s="4"/>
      <c r="I24" s="4"/>
      <c r="J24" s="4"/>
      <c r="K24" s="4"/>
      <c r="L24" s="4"/>
      <c r="M24" s="4"/>
      <c r="N24" s="4"/>
      <c r="O24" s="4"/>
      <c r="P24" s="4"/>
      <c r="Q24" s="4"/>
    </row>
    <row r="25" ht="13.5" customHeight="1">
      <c r="A25" s="4"/>
      <c r="B25" s="4"/>
      <c r="C25" s="4"/>
      <c r="D25" s="4"/>
      <c r="E25" s="4"/>
      <c r="F25" s="4"/>
      <c r="G25" s="4"/>
      <c r="H25" s="4"/>
      <c r="I25" s="4"/>
      <c r="J25" s="4"/>
      <c r="K25" s="4"/>
      <c r="L25" s="4"/>
      <c r="M25" s="4"/>
      <c r="N25" s="4"/>
      <c r="O25" s="4"/>
      <c r="P25" s="4"/>
      <c r="Q25" s="4"/>
    </row>
    <row r="26" ht="13.5" customHeight="1">
      <c r="A26" s="4"/>
      <c r="B26" s="4"/>
      <c r="C26" s="4"/>
      <c r="D26" s="4"/>
      <c r="E26" s="4"/>
      <c r="F26" s="4"/>
      <c r="G26" s="4"/>
      <c r="H26" s="4"/>
      <c r="I26" s="4"/>
      <c r="J26" s="4"/>
      <c r="K26" s="4"/>
      <c r="L26" s="4"/>
      <c r="M26" s="4"/>
      <c r="N26" s="4"/>
      <c r="O26" s="4"/>
      <c r="P26" s="4"/>
      <c r="Q26" s="4"/>
    </row>
    <row r="27" ht="13.5" customHeight="1">
      <c r="A27" s="4"/>
      <c r="B27" s="4"/>
      <c r="C27" s="4"/>
      <c r="D27" s="4"/>
      <c r="E27" s="4"/>
      <c r="F27" s="4"/>
      <c r="G27" s="4"/>
      <c r="H27" s="4"/>
      <c r="I27" s="4"/>
      <c r="J27" s="4"/>
      <c r="K27" s="4"/>
      <c r="L27" s="4"/>
      <c r="M27" s="4"/>
      <c r="N27" s="4"/>
      <c r="O27" s="4"/>
      <c r="P27" s="4"/>
      <c r="Q27" s="4"/>
    </row>
    <row r="28" ht="13.5" customHeight="1">
      <c r="A28" s="4"/>
      <c r="B28" s="4"/>
      <c r="C28" s="4"/>
      <c r="D28" s="4"/>
      <c r="E28" s="4"/>
      <c r="F28" s="4"/>
      <c r="G28" s="4"/>
      <c r="H28" s="4"/>
      <c r="I28" s="4"/>
      <c r="J28" s="4"/>
      <c r="K28" s="4"/>
      <c r="L28" s="4"/>
      <c r="M28" s="4"/>
      <c r="N28" s="4"/>
      <c r="O28" s="4"/>
      <c r="P28" s="4"/>
      <c r="Q28" s="4"/>
    </row>
    <row r="29" ht="13.5" customHeight="1">
      <c r="A29" s="4"/>
      <c r="B29" s="4"/>
      <c r="C29" s="4"/>
      <c r="D29" s="4"/>
      <c r="E29" s="4"/>
      <c r="F29" s="4"/>
      <c r="G29" s="4"/>
      <c r="H29" s="4"/>
      <c r="I29" s="4"/>
      <c r="J29" s="4"/>
      <c r="K29" s="4"/>
      <c r="L29" s="4"/>
      <c r="M29" s="4"/>
      <c r="N29" s="4"/>
      <c r="O29" s="4"/>
      <c r="P29" s="4"/>
      <c r="Q29" s="4"/>
    </row>
    <row r="30" ht="13.5" customHeight="1">
      <c r="A30" s="4"/>
      <c r="B30" s="4"/>
      <c r="C30" s="4"/>
      <c r="D30" s="4"/>
      <c r="E30" s="4"/>
      <c r="F30" s="4"/>
      <c r="G30" s="4"/>
      <c r="H30" s="4"/>
      <c r="I30" s="4"/>
      <c r="J30" s="4"/>
      <c r="K30" s="4"/>
      <c r="L30" s="4"/>
      <c r="M30" s="4"/>
      <c r="N30" s="4"/>
      <c r="O30" s="4"/>
      <c r="P30" s="4"/>
      <c r="Q30" s="4"/>
    </row>
    <row r="31" ht="13.5" customHeight="1">
      <c r="A31" s="4"/>
      <c r="B31" s="4"/>
      <c r="C31" s="4"/>
      <c r="D31" s="4"/>
      <c r="E31" s="4"/>
      <c r="F31" s="4"/>
      <c r="G31" s="4"/>
      <c r="H31" s="4"/>
      <c r="I31" s="4"/>
      <c r="J31" s="4"/>
      <c r="K31" s="4"/>
      <c r="L31" s="4"/>
      <c r="M31" s="4"/>
      <c r="N31" s="4"/>
      <c r="O31" s="4"/>
      <c r="P31" s="4"/>
      <c r="Q31" s="4"/>
    </row>
    <row r="32" ht="13.5" customHeight="1">
      <c r="A32" s="4"/>
      <c r="B32" s="4"/>
      <c r="C32" s="4"/>
      <c r="D32" s="4"/>
      <c r="E32" s="4"/>
      <c r="F32" s="4"/>
      <c r="G32" s="4"/>
      <c r="H32" s="4"/>
      <c r="I32" s="4"/>
      <c r="J32" s="4"/>
      <c r="K32" s="4"/>
      <c r="L32" s="4"/>
      <c r="M32" s="4"/>
      <c r="N32" s="4"/>
      <c r="O32" s="4"/>
      <c r="P32" s="4"/>
      <c r="Q32" s="4"/>
    </row>
    <row r="33" ht="13.5" customHeight="1">
      <c r="A33" s="4"/>
      <c r="B33" s="4"/>
      <c r="C33" s="4"/>
      <c r="D33" s="4"/>
      <c r="E33" s="4"/>
      <c r="F33" s="4"/>
      <c r="G33" s="4"/>
      <c r="H33" s="4"/>
      <c r="I33" s="4"/>
      <c r="J33" s="4"/>
      <c r="K33" s="4"/>
      <c r="L33" s="4"/>
      <c r="M33" s="4"/>
      <c r="N33" s="4"/>
      <c r="O33" s="4"/>
      <c r="P33" s="4"/>
      <c r="Q33" s="4"/>
    </row>
    <row r="34" ht="13.5" customHeight="1">
      <c r="A34" s="4"/>
      <c r="B34" s="4"/>
      <c r="C34" s="4"/>
      <c r="D34" s="4"/>
      <c r="E34" s="4"/>
      <c r="F34" s="4"/>
      <c r="G34" s="4"/>
      <c r="H34" s="4"/>
      <c r="I34" s="4"/>
      <c r="J34" s="4"/>
      <c r="K34" s="4"/>
      <c r="L34" s="4"/>
      <c r="M34" s="4"/>
      <c r="N34" s="4"/>
      <c r="O34" s="4"/>
      <c r="P34" s="4"/>
      <c r="Q34" s="4"/>
    </row>
    <row r="35" ht="13.5" customHeight="1">
      <c r="A35" s="4"/>
      <c r="B35" s="4"/>
      <c r="C35" s="4"/>
      <c r="D35" s="4"/>
      <c r="E35" s="4"/>
      <c r="F35" s="4"/>
      <c r="G35" s="4"/>
      <c r="H35" s="4"/>
      <c r="I35" s="4"/>
      <c r="J35" s="4"/>
      <c r="K35" s="4"/>
      <c r="L35" s="4"/>
      <c r="M35" s="4"/>
      <c r="N35" s="4"/>
      <c r="O35" s="4"/>
      <c r="P35" s="4"/>
      <c r="Q35" s="4"/>
    </row>
    <row r="36" ht="13.5" customHeight="1">
      <c r="A36" s="4"/>
      <c r="B36" s="4"/>
      <c r="C36" s="4"/>
      <c r="D36" s="4"/>
      <c r="E36" s="4"/>
      <c r="F36" s="4"/>
      <c r="G36" s="4"/>
      <c r="H36" s="4"/>
      <c r="I36" s="4"/>
      <c r="J36" s="4"/>
      <c r="K36" s="4"/>
      <c r="L36" s="4"/>
      <c r="M36" s="4"/>
      <c r="N36" s="4"/>
      <c r="O36" s="4"/>
      <c r="P36" s="4"/>
      <c r="Q36" s="4"/>
    </row>
    <row r="37" ht="13.5" customHeight="1">
      <c r="A37" s="4"/>
      <c r="B37" s="4"/>
      <c r="C37" s="4"/>
      <c r="D37" s="4"/>
      <c r="E37" s="4"/>
      <c r="F37" s="4"/>
      <c r="G37" s="4"/>
      <c r="H37" s="4"/>
      <c r="I37" s="4"/>
      <c r="J37" s="4"/>
      <c r="K37" s="4"/>
      <c r="L37" s="4"/>
      <c r="M37" s="4"/>
      <c r="N37" s="4"/>
      <c r="O37" s="4"/>
      <c r="P37" s="4"/>
      <c r="Q37" s="4"/>
    </row>
    <row r="38" ht="13.5" customHeight="1">
      <c r="A38" s="4"/>
      <c r="B38" s="4"/>
      <c r="C38" s="4"/>
      <c r="D38" s="4"/>
      <c r="E38" s="4"/>
      <c r="F38" s="4"/>
      <c r="G38" s="4"/>
      <c r="H38" s="4"/>
      <c r="I38" s="4"/>
      <c r="J38" s="4"/>
      <c r="K38" s="4"/>
      <c r="L38" s="4"/>
      <c r="M38" s="4"/>
      <c r="N38" s="4"/>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sheetData>
  <mergeCells count="2">
    <mergeCell ref="A1:M1"/>
    <mergeCell ref="A3:M3"/>
  </mergeCells>
  <dataValidations>
    <dataValidation type="list" allowBlank="1" sqref="D6:I17">
      <formula1>'09_DanhMuc'!$D$3:$D$7</formula1>
    </dataValidation>
    <dataValidation type="list" allowBlank="1" sqref="M6:M17">
      <formula1>'09_DanhMuc'!$E$3:$E$4</formula1>
    </dataValidation>
    <dataValidation type="list" allowBlank="1" sqref="B6:C17">
      <formula1>'01_ThongTinNhom'!$B$16:$B$19</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25.0"/>
    <col customWidth="1" min="3" max="3" width="13.0"/>
    <col customWidth="1" min="4" max="4" width="17.0"/>
    <col customWidth="1" min="5" max="8" width="16.0"/>
    <col customWidth="1" min="9" max="10" width="14.0"/>
    <col customWidth="1" min="11" max="11" width="16.0"/>
    <col customWidth="1" min="12" max="12" width="11.0"/>
    <col customWidth="1" min="13" max="13" width="55.0"/>
    <col customWidth="1" min="14" max="14" width="45.0"/>
    <col customWidth="1" min="15" max="15" width="92.38"/>
    <col customWidth="1" min="16" max="17" width="18.0"/>
    <col customWidth="1" min="18" max="26" width="8.63"/>
  </cols>
  <sheetData>
    <row r="1" ht="15.0" customHeight="1">
      <c r="A1" s="1" t="s">
        <v>554</v>
      </c>
      <c r="B1" s="2"/>
      <c r="C1" s="2"/>
      <c r="D1" s="2"/>
      <c r="E1" s="2"/>
      <c r="F1" s="2"/>
      <c r="G1" s="2"/>
      <c r="H1" s="2"/>
      <c r="I1" s="2"/>
      <c r="J1" s="2"/>
      <c r="K1" s="2"/>
      <c r="L1" s="2"/>
      <c r="M1" s="2"/>
      <c r="N1" s="2"/>
      <c r="O1" s="2"/>
      <c r="P1" s="2"/>
      <c r="Q1" s="3"/>
    </row>
    <row r="2" ht="13.5" customHeight="1">
      <c r="A2" s="4"/>
      <c r="B2" s="4"/>
      <c r="C2" s="4"/>
      <c r="D2" s="4"/>
      <c r="E2" s="4"/>
      <c r="F2" s="4"/>
      <c r="G2" s="4"/>
      <c r="H2" s="4"/>
      <c r="I2" s="4"/>
      <c r="J2" s="4"/>
      <c r="K2" s="4"/>
      <c r="L2" s="4"/>
      <c r="M2" s="4"/>
      <c r="N2" s="4"/>
      <c r="O2" s="4"/>
      <c r="P2" s="4"/>
      <c r="Q2" s="4"/>
    </row>
    <row r="3" ht="18.0" customHeight="1">
      <c r="A3" s="7" t="s">
        <v>555</v>
      </c>
      <c r="B3" s="2"/>
      <c r="C3" s="2"/>
      <c r="D3" s="2"/>
      <c r="E3" s="2"/>
      <c r="F3" s="2"/>
      <c r="G3" s="2"/>
      <c r="H3" s="2"/>
      <c r="I3" s="2"/>
      <c r="J3" s="2"/>
      <c r="K3" s="2"/>
      <c r="L3" s="2"/>
      <c r="M3" s="2"/>
      <c r="N3" s="2"/>
      <c r="O3" s="2"/>
      <c r="P3" s="2"/>
      <c r="Q3" s="3"/>
    </row>
    <row r="4" ht="13.5" customHeight="1">
      <c r="A4" s="4"/>
      <c r="B4" s="4"/>
      <c r="C4" s="4"/>
      <c r="D4" s="4"/>
      <c r="E4" s="4"/>
      <c r="F4" s="4"/>
      <c r="G4" s="4"/>
      <c r="H4" s="4"/>
      <c r="I4" s="4"/>
      <c r="J4" s="4"/>
      <c r="K4" s="4"/>
      <c r="L4" s="4"/>
      <c r="M4" s="4"/>
      <c r="N4" s="4"/>
      <c r="O4" s="4"/>
      <c r="P4" s="4"/>
      <c r="Q4" s="4"/>
    </row>
    <row r="5" ht="13.5" customHeight="1">
      <c r="A5" s="5" t="s">
        <v>108</v>
      </c>
      <c r="B5" s="5" t="s">
        <v>556</v>
      </c>
      <c r="C5" s="5" t="s">
        <v>557</v>
      </c>
      <c r="D5" s="5" t="s">
        <v>558</v>
      </c>
      <c r="E5" s="5" t="s">
        <v>559</v>
      </c>
      <c r="F5" s="5" t="s">
        <v>560</v>
      </c>
      <c r="G5" s="5" t="s">
        <v>561</v>
      </c>
      <c r="H5" s="5" t="s">
        <v>562</v>
      </c>
      <c r="I5" s="5" t="s">
        <v>563</v>
      </c>
      <c r="J5" s="5" t="s">
        <v>564</v>
      </c>
      <c r="K5" s="5" t="s">
        <v>565</v>
      </c>
      <c r="L5" s="5" t="s">
        <v>534</v>
      </c>
      <c r="M5" s="5" t="s">
        <v>566</v>
      </c>
      <c r="N5" s="5" t="s">
        <v>567</v>
      </c>
      <c r="O5" s="5" t="s">
        <v>568</v>
      </c>
      <c r="P5" s="5" t="s">
        <v>569</v>
      </c>
      <c r="Q5" s="5" t="s">
        <v>570</v>
      </c>
    </row>
    <row r="6" ht="13.5" customHeight="1">
      <c r="A6" s="40">
        <v>1.0</v>
      </c>
      <c r="B6" s="41" t="s">
        <v>116</v>
      </c>
      <c r="C6" s="38">
        <v>5.0</v>
      </c>
      <c r="D6" s="38">
        <v>4.0</v>
      </c>
      <c r="E6" s="38">
        <v>5.0</v>
      </c>
      <c r="F6" s="38">
        <v>5.0</v>
      </c>
      <c r="G6" s="38">
        <v>4.0</v>
      </c>
      <c r="H6" s="38">
        <v>4.0</v>
      </c>
      <c r="I6" s="38">
        <v>4.0</v>
      </c>
      <c r="J6" s="38">
        <v>5.0</v>
      </c>
      <c r="K6" s="38">
        <v>5.0</v>
      </c>
      <c r="L6" s="39">
        <v>4.56</v>
      </c>
      <c r="M6" s="42" t="s">
        <v>571</v>
      </c>
      <c r="N6" s="42" t="s">
        <v>572</v>
      </c>
      <c r="O6" s="32" t="s">
        <v>545</v>
      </c>
      <c r="P6" s="43">
        <v>0.24</v>
      </c>
      <c r="Q6" s="32" t="s">
        <v>13</v>
      </c>
    </row>
    <row r="7" ht="13.5" customHeight="1">
      <c r="A7" s="40">
        <v>2.0</v>
      </c>
      <c r="B7" s="41" t="s">
        <v>120</v>
      </c>
      <c r="C7" s="38">
        <v>5.0</v>
      </c>
      <c r="D7" s="38">
        <v>5.0</v>
      </c>
      <c r="E7" s="38">
        <v>5.0</v>
      </c>
      <c r="F7" s="38">
        <v>5.0</v>
      </c>
      <c r="G7" s="38">
        <v>4.0</v>
      </c>
      <c r="H7" s="38">
        <v>4.0</v>
      </c>
      <c r="I7" s="38">
        <v>4.0</v>
      </c>
      <c r="J7" s="38">
        <v>5.0</v>
      </c>
      <c r="K7" s="38">
        <v>5.0</v>
      </c>
      <c r="L7" s="39">
        <v>4.67</v>
      </c>
      <c r="M7" s="42" t="s">
        <v>573</v>
      </c>
      <c r="N7" s="42" t="s">
        <v>574</v>
      </c>
      <c r="O7" s="32" t="s">
        <v>575</v>
      </c>
      <c r="P7" s="43">
        <v>0.2</v>
      </c>
      <c r="Q7" s="32" t="s">
        <v>13</v>
      </c>
    </row>
    <row r="8" ht="13.5" customHeight="1">
      <c r="A8" s="40">
        <v>3.0</v>
      </c>
      <c r="B8" s="41" t="s">
        <v>124</v>
      </c>
      <c r="C8" s="38">
        <v>5.0</v>
      </c>
      <c r="D8" s="38">
        <v>5.0</v>
      </c>
      <c r="E8" s="38">
        <v>5.0</v>
      </c>
      <c r="F8" s="38">
        <v>5.0</v>
      </c>
      <c r="G8" s="38">
        <v>4.0</v>
      </c>
      <c r="H8" s="38">
        <v>5.0</v>
      </c>
      <c r="I8" s="38">
        <v>4.0</v>
      </c>
      <c r="J8" s="38">
        <v>5.0</v>
      </c>
      <c r="K8" s="38">
        <v>5.0</v>
      </c>
      <c r="L8" s="39">
        <v>4.78</v>
      </c>
      <c r="M8" s="42" t="s">
        <v>576</v>
      </c>
      <c r="N8" s="42" t="s">
        <v>577</v>
      </c>
      <c r="O8" s="32" t="s">
        <v>578</v>
      </c>
      <c r="P8" s="43">
        <v>0.28</v>
      </c>
      <c r="Q8" s="32" t="s">
        <v>13</v>
      </c>
    </row>
    <row r="9" ht="13.5" customHeight="1">
      <c r="A9" s="40">
        <v>4.0</v>
      </c>
      <c r="B9" s="41" t="s">
        <v>128</v>
      </c>
      <c r="C9" s="38">
        <v>5.0</v>
      </c>
      <c r="D9" s="38">
        <v>5.0</v>
      </c>
      <c r="E9" s="38">
        <v>5.0</v>
      </c>
      <c r="F9" s="38">
        <v>5.0</v>
      </c>
      <c r="G9" s="38">
        <v>5.0</v>
      </c>
      <c r="H9" s="38">
        <v>5.0</v>
      </c>
      <c r="I9" s="38">
        <v>4.0</v>
      </c>
      <c r="J9" s="38">
        <v>5.0</v>
      </c>
      <c r="K9" s="38">
        <v>5.0</v>
      </c>
      <c r="L9" s="39">
        <v>4.89</v>
      </c>
      <c r="M9" s="42" t="s">
        <v>579</v>
      </c>
      <c r="N9" s="42" t="s">
        <v>580</v>
      </c>
      <c r="O9" s="32" t="s">
        <v>581</v>
      </c>
      <c r="P9" s="43">
        <v>0.28</v>
      </c>
      <c r="Q9" s="32" t="s">
        <v>13</v>
      </c>
    </row>
    <row r="10" ht="13.5" customHeight="1">
      <c r="A10" s="4"/>
      <c r="B10" s="4"/>
      <c r="C10" s="4"/>
      <c r="D10" s="4"/>
      <c r="E10" s="4"/>
      <c r="F10" s="4"/>
      <c r="G10" s="4"/>
      <c r="H10" s="4"/>
      <c r="I10" s="4"/>
      <c r="J10" s="4"/>
      <c r="K10" s="4"/>
      <c r="L10" s="4"/>
      <c r="M10" s="4"/>
      <c r="N10" s="4"/>
      <c r="O10" s="4"/>
      <c r="P10" s="4"/>
      <c r="Q10" s="4"/>
    </row>
    <row r="11" ht="13.5" customHeight="1">
      <c r="A11" s="4"/>
      <c r="B11" s="4"/>
      <c r="C11" s="4"/>
      <c r="D11" s="4"/>
      <c r="E11" s="4"/>
      <c r="F11" s="4"/>
      <c r="G11" s="4"/>
      <c r="H11" s="4"/>
      <c r="I11" s="4"/>
      <c r="J11" s="4"/>
      <c r="K11" s="4"/>
      <c r="L11" s="4"/>
      <c r="M11" s="4"/>
      <c r="N11" s="4"/>
      <c r="O11" s="4"/>
      <c r="P11" s="4"/>
      <c r="Q11" s="4"/>
    </row>
    <row r="12" ht="13.5" customHeight="1">
      <c r="A12" s="4"/>
      <c r="B12" s="4"/>
      <c r="C12" s="4"/>
      <c r="D12" s="4"/>
      <c r="E12" s="4"/>
      <c r="F12" s="4"/>
      <c r="G12" s="4"/>
      <c r="H12" s="4"/>
      <c r="I12" s="4"/>
      <c r="J12" s="4"/>
      <c r="K12" s="4"/>
      <c r="L12" s="4"/>
      <c r="M12" s="4"/>
      <c r="N12" s="4"/>
      <c r="O12" s="4"/>
      <c r="P12" s="4"/>
      <c r="Q12" s="4"/>
    </row>
    <row r="13" ht="13.5" customHeight="1">
      <c r="A13" s="4"/>
      <c r="B13" s="4"/>
      <c r="C13" s="4"/>
      <c r="D13" s="4"/>
      <c r="E13" s="4"/>
      <c r="F13" s="4"/>
      <c r="G13" s="4"/>
      <c r="H13" s="4"/>
      <c r="I13" s="4"/>
      <c r="J13" s="4"/>
      <c r="K13" s="4"/>
      <c r="L13" s="4"/>
      <c r="M13" s="4"/>
      <c r="N13" s="4"/>
      <c r="O13" s="4"/>
      <c r="P13" s="4"/>
      <c r="Q13" s="4"/>
    </row>
    <row r="14" ht="13.5" customHeight="1">
      <c r="A14" s="4"/>
      <c r="B14" s="4"/>
      <c r="C14" s="4"/>
      <c r="D14" s="4"/>
      <c r="E14" s="4"/>
      <c r="F14" s="4"/>
      <c r="G14" s="4"/>
      <c r="H14" s="4"/>
      <c r="I14" s="4"/>
      <c r="J14" s="4"/>
      <c r="K14" s="4"/>
      <c r="L14" s="4"/>
      <c r="M14" s="4"/>
      <c r="N14" s="4"/>
      <c r="O14" s="4"/>
      <c r="P14" s="4"/>
      <c r="Q14" s="4"/>
    </row>
    <row r="15" ht="13.5" customHeight="1">
      <c r="A15" s="4"/>
      <c r="B15" s="4"/>
      <c r="C15" s="4"/>
      <c r="D15" s="4"/>
      <c r="E15" s="4"/>
      <c r="F15" s="4"/>
      <c r="G15" s="4"/>
      <c r="H15" s="4"/>
      <c r="I15" s="4"/>
      <c r="J15" s="4"/>
      <c r="K15" s="4"/>
      <c r="L15" s="4"/>
      <c r="M15" s="4"/>
      <c r="N15" s="4"/>
      <c r="O15" s="4"/>
      <c r="P15" s="4"/>
      <c r="Q15" s="4"/>
    </row>
    <row r="16" ht="13.5" customHeight="1">
      <c r="A16" s="4"/>
      <c r="B16" s="4"/>
      <c r="C16" s="4"/>
      <c r="D16" s="4"/>
      <c r="E16" s="4"/>
      <c r="F16" s="4"/>
      <c r="G16" s="4"/>
      <c r="H16" s="4"/>
      <c r="I16" s="4"/>
      <c r="J16" s="4"/>
      <c r="K16" s="4"/>
      <c r="L16" s="4"/>
      <c r="M16" s="4"/>
      <c r="N16" s="4"/>
      <c r="O16" s="4"/>
      <c r="P16" s="4"/>
      <c r="Q16" s="4"/>
    </row>
    <row r="17" ht="13.5" customHeight="1">
      <c r="A17" s="4"/>
      <c r="B17" s="4"/>
      <c r="C17" s="4"/>
      <c r="D17" s="4"/>
      <c r="E17" s="4"/>
      <c r="F17" s="4"/>
      <c r="G17" s="4"/>
      <c r="H17" s="4"/>
      <c r="I17" s="4"/>
      <c r="J17" s="4"/>
      <c r="K17" s="4"/>
      <c r="L17" s="4"/>
      <c r="M17" s="4"/>
      <c r="N17" s="4"/>
      <c r="O17" s="4"/>
      <c r="P17" s="4"/>
      <c r="Q17" s="4"/>
    </row>
    <row r="18" ht="13.5" customHeight="1">
      <c r="A18" s="4"/>
      <c r="B18" s="4"/>
      <c r="C18" s="4"/>
      <c r="D18" s="4"/>
      <c r="E18" s="4"/>
      <c r="F18" s="4"/>
      <c r="G18" s="4"/>
      <c r="H18" s="4"/>
      <c r="I18" s="4"/>
      <c r="J18" s="4"/>
      <c r="K18" s="4"/>
      <c r="L18" s="4"/>
      <c r="M18" s="4"/>
      <c r="N18" s="4"/>
      <c r="O18" s="4"/>
      <c r="P18" s="4"/>
      <c r="Q18" s="4"/>
    </row>
    <row r="19" ht="13.5" customHeight="1">
      <c r="A19" s="4"/>
      <c r="B19" s="4"/>
      <c r="C19" s="4"/>
      <c r="D19" s="4"/>
      <c r="E19" s="4"/>
      <c r="F19" s="4"/>
      <c r="G19" s="4"/>
      <c r="H19" s="4"/>
      <c r="I19" s="4"/>
      <c r="J19" s="4"/>
      <c r="K19" s="4"/>
      <c r="L19" s="4"/>
      <c r="M19" s="4"/>
      <c r="N19" s="4"/>
      <c r="O19" s="4"/>
      <c r="P19" s="4"/>
      <c r="Q19" s="4"/>
    </row>
    <row r="20" ht="13.5" customHeight="1">
      <c r="A20" s="4"/>
      <c r="B20" s="4"/>
      <c r="C20" s="4"/>
      <c r="D20" s="4"/>
      <c r="E20" s="4"/>
      <c r="F20" s="4"/>
      <c r="G20" s="4"/>
      <c r="H20" s="4"/>
      <c r="I20" s="4"/>
      <c r="J20" s="4"/>
      <c r="K20" s="4"/>
      <c r="L20" s="4"/>
      <c r="M20" s="4"/>
      <c r="N20" s="4"/>
      <c r="O20" s="4"/>
      <c r="P20" s="4"/>
      <c r="Q20" s="4"/>
    </row>
    <row r="21" ht="13.5" customHeight="1">
      <c r="A21" s="4"/>
      <c r="B21" s="4"/>
      <c r="C21" s="4"/>
      <c r="D21" s="4"/>
      <c r="E21" s="4"/>
      <c r="F21" s="4"/>
      <c r="G21" s="4"/>
      <c r="H21" s="4"/>
      <c r="I21" s="4"/>
      <c r="J21" s="4"/>
      <c r="K21" s="4"/>
      <c r="L21" s="4"/>
      <c r="M21" s="4"/>
      <c r="N21" s="4"/>
      <c r="O21" s="4"/>
      <c r="P21" s="4"/>
      <c r="Q21" s="4"/>
    </row>
    <row r="22" ht="13.5" customHeight="1">
      <c r="A22" s="4"/>
      <c r="B22" s="4"/>
      <c r="C22" s="4"/>
      <c r="D22" s="4"/>
      <c r="E22" s="4"/>
      <c r="F22" s="4"/>
      <c r="G22" s="4"/>
      <c r="H22" s="4"/>
      <c r="I22" s="4"/>
      <c r="J22" s="4"/>
      <c r="K22" s="4"/>
      <c r="L22" s="4"/>
      <c r="M22" s="4"/>
      <c r="N22" s="4"/>
      <c r="O22" s="4"/>
      <c r="P22" s="4"/>
      <c r="Q22" s="4"/>
    </row>
    <row r="23" ht="13.5" customHeight="1">
      <c r="A23" s="4"/>
      <c r="B23" s="4"/>
      <c r="C23" s="4"/>
      <c r="D23" s="4"/>
      <c r="E23" s="4"/>
      <c r="F23" s="4"/>
      <c r="G23" s="4"/>
      <c r="H23" s="4"/>
      <c r="I23" s="4"/>
      <c r="J23" s="4"/>
      <c r="K23" s="4"/>
      <c r="L23" s="4"/>
      <c r="M23" s="4"/>
      <c r="N23" s="4"/>
      <c r="O23" s="4"/>
      <c r="P23" s="4"/>
      <c r="Q23" s="4"/>
    </row>
    <row r="24" ht="13.5" customHeight="1">
      <c r="A24" s="4"/>
      <c r="B24" s="4"/>
      <c r="C24" s="4"/>
      <c r="D24" s="4"/>
      <c r="E24" s="4"/>
      <c r="F24" s="4"/>
      <c r="G24" s="4"/>
      <c r="H24" s="4"/>
      <c r="I24" s="4"/>
      <c r="J24" s="4"/>
      <c r="K24" s="4"/>
      <c r="L24" s="4"/>
      <c r="M24" s="4"/>
      <c r="N24" s="4"/>
      <c r="O24" s="4"/>
      <c r="P24" s="4"/>
      <c r="Q24" s="4"/>
    </row>
    <row r="25" ht="13.5" customHeight="1">
      <c r="A25" s="4"/>
      <c r="B25" s="4"/>
      <c r="C25" s="4"/>
      <c r="D25" s="4"/>
      <c r="E25" s="4"/>
      <c r="F25" s="4"/>
      <c r="G25" s="4"/>
      <c r="H25" s="4"/>
      <c r="I25" s="4"/>
      <c r="J25" s="4"/>
      <c r="K25" s="4"/>
      <c r="L25" s="4"/>
      <c r="M25" s="4"/>
      <c r="N25" s="4"/>
      <c r="O25" s="4"/>
      <c r="P25" s="4"/>
      <c r="Q25" s="4"/>
    </row>
    <row r="26" ht="13.5" customHeight="1">
      <c r="A26" s="4"/>
      <c r="B26" s="4"/>
      <c r="C26" s="4"/>
      <c r="D26" s="4"/>
      <c r="E26" s="4"/>
      <c r="F26" s="4"/>
      <c r="G26" s="4"/>
      <c r="H26" s="4"/>
      <c r="I26" s="4"/>
      <c r="J26" s="4"/>
      <c r="K26" s="4"/>
      <c r="L26" s="4"/>
      <c r="M26" s="4"/>
      <c r="N26" s="4"/>
      <c r="O26" s="4"/>
      <c r="P26" s="4"/>
      <c r="Q26" s="4"/>
    </row>
    <row r="27" ht="13.5" customHeight="1">
      <c r="A27" s="4"/>
      <c r="B27" s="4"/>
      <c r="C27" s="4"/>
      <c r="D27" s="4"/>
      <c r="E27" s="4"/>
      <c r="F27" s="4"/>
      <c r="G27" s="4"/>
      <c r="H27" s="4"/>
      <c r="I27" s="4"/>
      <c r="J27" s="4"/>
      <c r="K27" s="4"/>
      <c r="L27" s="4"/>
      <c r="M27" s="4"/>
      <c r="N27" s="4"/>
      <c r="O27" s="4"/>
      <c r="P27" s="4"/>
      <c r="Q27" s="4"/>
    </row>
    <row r="28" ht="13.5" customHeight="1">
      <c r="A28" s="4"/>
      <c r="B28" s="4"/>
      <c r="C28" s="4"/>
      <c r="D28" s="4"/>
      <c r="E28" s="4"/>
      <c r="F28" s="4"/>
      <c r="G28" s="4"/>
      <c r="H28" s="4"/>
      <c r="I28" s="4"/>
      <c r="J28" s="4"/>
      <c r="K28" s="4"/>
      <c r="L28" s="4"/>
      <c r="M28" s="4"/>
      <c r="N28" s="4"/>
      <c r="O28" s="4"/>
      <c r="P28" s="4"/>
      <c r="Q28" s="4"/>
    </row>
    <row r="29" ht="13.5" customHeight="1">
      <c r="A29" s="4"/>
      <c r="B29" s="4"/>
      <c r="C29" s="4"/>
      <c r="D29" s="4"/>
      <c r="E29" s="4"/>
      <c r="F29" s="4"/>
      <c r="G29" s="4"/>
      <c r="H29" s="4"/>
      <c r="I29" s="4"/>
      <c r="J29" s="4"/>
      <c r="K29" s="4"/>
      <c r="L29" s="4"/>
      <c r="M29" s="4"/>
      <c r="N29" s="4"/>
      <c r="O29" s="4"/>
      <c r="P29" s="4"/>
      <c r="Q29" s="4"/>
    </row>
    <row r="30" ht="13.5" customHeight="1">
      <c r="A30" s="4"/>
      <c r="B30" s="4"/>
      <c r="C30" s="4"/>
      <c r="D30" s="4"/>
      <c r="E30" s="4"/>
      <c r="F30" s="4"/>
      <c r="G30" s="4"/>
      <c r="H30" s="4"/>
      <c r="I30" s="4"/>
      <c r="J30" s="4"/>
      <c r="K30" s="4"/>
      <c r="L30" s="4"/>
      <c r="M30" s="4"/>
      <c r="N30" s="4"/>
      <c r="O30" s="4"/>
      <c r="P30" s="4"/>
      <c r="Q30" s="4"/>
    </row>
    <row r="31" ht="13.5" customHeight="1">
      <c r="A31" s="4"/>
      <c r="B31" s="4"/>
      <c r="C31" s="4"/>
      <c r="D31" s="4"/>
      <c r="E31" s="4"/>
      <c r="F31" s="4"/>
      <c r="G31" s="4"/>
      <c r="H31" s="4"/>
      <c r="I31" s="4"/>
      <c r="J31" s="4"/>
      <c r="K31" s="4"/>
      <c r="L31" s="4"/>
      <c r="M31" s="4"/>
      <c r="N31" s="4"/>
      <c r="O31" s="4"/>
      <c r="P31" s="4"/>
      <c r="Q31" s="4"/>
    </row>
    <row r="32" ht="13.5" customHeight="1">
      <c r="A32" s="4"/>
      <c r="B32" s="4"/>
      <c r="C32" s="4"/>
      <c r="D32" s="4"/>
      <c r="E32" s="4"/>
      <c r="F32" s="4"/>
      <c r="G32" s="4"/>
      <c r="H32" s="4"/>
      <c r="I32" s="4"/>
      <c r="J32" s="4"/>
      <c r="K32" s="4"/>
      <c r="L32" s="4"/>
      <c r="M32" s="4"/>
      <c r="N32" s="4"/>
      <c r="O32" s="4"/>
      <c r="P32" s="4"/>
      <c r="Q32" s="4"/>
    </row>
    <row r="33" ht="13.5" customHeight="1">
      <c r="A33" s="4"/>
      <c r="B33" s="4"/>
      <c r="C33" s="4"/>
      <c r="D33" s="4"/>
      <c r="E33" s="4"/>
      <c r="F33" s="4"/>
      <c r="G33" s="4"/>
      <c r="H33" s="4"/>
      <c r="I33" s="4"/>
      <c r="J33" s="4"/>
      <c r="K33" s="4"/>
      <c r="L33" s="4"/>
      <c r="M33" s="4"/>
      <c r="N33" s="4"/>
      <c r="O33" s="4"/>
      <c r="P33" s="4"/>
      <c r="Q33" s="4"/>
    </row>
    <row r="34" ht="13.5" customHeight="1">
      <c r="A34" s="4"/>
      <c r="B34" s="4"/>
      <c r="C34" s="4"/>
      <c r="D34" s="4"/>
      <c r="E34" s="4"/>
      <c r="F34" s="4"/>
      <c r="G34" s="4"/>
      <c r="H34" s="4"/>
      <c r="I34" s="4"/>
      <c r="J34" s="4"/>
      <c r="K34" s="4"/>
      <c r="L34" s="4"/>
      <c r="M34" s="4"/>
      <c r="N34" s="4"/>
      <c r="O34" s="4"/>
      <c r="P34" s="4"/>
      <c r="Q34" s="4"/>
    </row>
    <row r="35" ht="13.5" customHeight="1">
      <c r="A35" s="4"/>
      <c r="B35" s="4"/>
      <c r="C35" s="4"/>
      <c r="D35" s="4"/>
      <c r="E35" s="4"/>
      <c r="F35" s="4"/>
      <c r="G35" s="4"/>
      <c r="H35" s="4"/>
      <c r="I35" s="4"/>
      <c r="J35" s="4"/>
      <c r="K35" s="4"/>
      <c r="L35" s="4"/>
      <c r="M35" s="4"/>
      <c r="N35" s="4"/>
      <c r="O35" s="4"/>
      <c r="P35" s="4"/>
      <c r="Q35" s="4"/>
    </row>
    <row r="36" ht="13.5" customHeight="1">
      <c r="A36" s="4"/>
      <c r="B36" s="4"/>
      <c r="C36" s="4"/>
      <c r="D36" s="4"/>
      <c r="E36" s="4"/>
      <c r="F36" s="4"/>
      <c r="G36" s="4"/>
      <c r="H36" s="4"/>
      <c r="I36" s="4"/>
      <c r="J36" s="4"/>
      <c r="K36" s="4"/>
      <c r="L36" s="4"/>
      <c r="M36" s="4"/>
      <c r="N36" s="4"/>
      <c r="O36" s="4"/>
      <c r="P36" s="4"/>
      <c r="Q36" s="4"/>
    </row>
    <row r="37" ht="13.5" customHeight="1">
      <c r="A37" s="4"/>
      <c r="B37" s="4"/>
      <c r="C37" s="4"/>
      <c r="D37" s="4"/>
      <c r="E37" s="4"/>
      <c r="F37" s="4"/>
      <c r="G37" s="4"/>
      <c r="H37" s="4"/>
      <c r="I37" s="4"/>
      <c r="J37" s="4"/>
      <c r="K37" s="4"/>
      <c r="L37" s="4"/>
      <c r="M37" s="4"/>
      <c r="N37" s="4"/>
      <c r="O37" s="4"/>
      <c r="P37" s="4"/>
      <c r="Q37" s="4"/>
    </row>
    <row r="38" ht="13.5" customHeight="1">
      <c r="A38" s="4"/>
      <c r="B38" s="4"/>
      <c r="C38" s="4"/>
      <c r="D38" s="4"/>
      <c r="E38" s="4"/>
      <c r="F38" s="4"/>
      <c r="G38" s="4"/>
      <c r="H38" s="4"/>
      <c r="I38" s="4"/>
      <c r="J38" s="4"/>
      <c r="K38" s="4"/>
      <c r="L38" s="4"/>
      <c r="M38" s="4"/>
      <c r="N38" s="4"/>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c r="A189" s="4"/>
      <c r="B189" s="4"/>
      <c r="C189" s="4"/>
      <c r="D189" s="4"/>
      <c r="E189" s="4"/>
      <c r="F189" s="4"/>
      <c r="G189" s="4"/>
      <c r="H189" s="4"/>
      <c r="I189" s="4"/>
      <c r="J189" s="4"/>
      <c r="K189" s="4"/>
      <c r="L189" s="4"/>
      <c r="M189" s="4"/>
      <c r="N189" s="4"/>
      <c r="O189" s="4"/>
      <c r="P189" s="4"/>
      <c r="Q189" s="4"/>
    </row>
    <row r="190" ht="13.5" customHeight="1">
      <c r="A190" s="4"/>
      <c r="B190" s="4"/>
      <c r="C190" s="4"/>
      <c r="D190" s="4"/>
      <c r="E190" s="4"/>
      <c r="F190" s="4"/>
      <c r="G190" s="4"/>
      <c r="H190" s="4"/>
      <c r="I190" s="4"/>
      <c r="J190" s="4"/>
      <c r="K190" s="4"/>
      <c r="L190" s="4"/>
      <c r="M190" s="4"/>
      <c r="N190" s="4"/>
      <c r="O190" s="4"/>
      <c r="P190" s="4"/>
      <c r="Q190" s="4"/>
    </row>
    <row r="191" ht="13.5" customHeight="1">
      <c r="A191" s="4"/>
      <c r="B191" s="4"/>
      <c r="C191" s="4"/>
      <c r="D191" s="4"/>
      <c r="E191" s="4"/>
      <c r="F191" s="4"/>
      <c r="G191" s="4"/>
      <c r="H191" s="4"/>
      <c r="I191" s="4"/>
      <c r="J191" s="4"/>
      <c r="K191" s="4"/>
      <c r="L191" s="4"/>
      <c r="M191" s="4"/>
      <c r="N191" s="4"/>
      <c r="O191" s="4"/>
      <c r="P191" s="4"/>
      <c r="Q191" s="4"/>
    </row>
    <row r="192" ht="13.5" customHeight="1">
      <c r="A192" s="4"/>
      <c r="B192" s="4"/>
      <c r="C192" s="4"/>
      <c r="D192" s="4"/>
      <c r="E192" s="4"/>
      <c r="F192" s="4"/>
      <c r="G192" s="4"/>
      <c r="H192" s="4"/>
      <c r="I192" s="4"/>
      <c r="J192" s="4"/>
      <c r="K192" s="4"/>
      <c r="L192" s="4"/>
      <c r="M192" s="4"/>
      <c r="N192" s="4"/>
      <c r="O192" s="4"/>
      <c r="P192" s="4"/>
      <c r="Q192" s="4"/>
    </row>
    <row r="193" ht="13.5" customHeight="1">
      <c r="A193" s="4"/>
      <c r="B193" s="4"/>
      <c r="C193" s="4"/>
      <c r="D193" s="4"/>
      <c r="E193" s="4"/>
      <c r="F193" s="4"/>
      <c r="G193" s="4"/>
      <c r="H193" s="4"/>
      <c r="I193" s="4"/>
      <c r="J193" s="4"/>
      <c r="K193" s="4"/>
      <c r="L193" s="4"/>
      <c r="M193" s="4"/>
      <c r="N193" s="4"/>
      <c r="O193" s="4"/>
      <c r="P193" s="4"/>
      <c r="Q193" s="4"/>
    </row>
    <row r="194" ht="13.5" customHeight="1">
      <c r="A194" s="4"/>
      <c r="B194" s="4"/>
      <c r="C194" s="4"/>
      <c r="D194" s="4"/>
      <c r="E194" s="4"/>
      <c r="F194" s="4"/>
      <c r="G194" s="4"/>
      <c r="H194" s="4"/>
      <c r="I194" s="4"/>
      <c r="J194" s="4"/>
      <c r="K194" s="4"/>
      <c r="L194" s="4"/>
      <c r="M194" s="4"/>
      <c r="N194" s="4"/>
      <c r="O194" s="4"/>
      <c r="P194" s="4"/>
      <c r="Q194" s="4"/>
    </row>
    <row r="195" ht="13.5" customHeight="1">
      <c r="A195" s="4"/>
      <c r="B195" s="4"/>
      <c r="C195" s="4"/>
      <c r="D195" s="4"/>
      <c r="E195" s="4"/>
      <c r="F195" s="4"/>
      <c r="G195" s="4"/>
      <c r="H195" s="4"/>
      <c r="I195" s="4"/>
      <c r="J195" s="4"/>
      <c r="K195" s="4"/>
      <c r="L195" s="4"/>
      <c r="M195" s="4"/>
      <c r="N195" s="4"/>
      <c r="O195" s="4"/>
      <c r="P195" s="4"/>
      <c r="Q195" s="4"/>
    </row>
    <row r="196" ht="13.5" customHeight="1">
      <c r="A196" s="4"/>
      <c r="B196" s="4"/>
      <c r="C196" s="4"/>
      <c r="D196" s="4"/>
      <c r="E196" s="4"/>
      <c r="F196" s="4"/>
      <c r="G196" s="4"/>
      <c r="H196" s="4"/>
      <c r="I196" s="4"/>
      <c r="J196" s="4"/>
      <c r="K196" s="4"/>
      <c r="L196" s="4"/>
      <c r="M196" s="4"/>
      <c r="N196" s="4"/>
      <c r="O196" s="4"/>
      <c r="P196" s="4"/>
      <c r="Q196" s="4"/>
    </row>
    <row r="197" ht="13.5" customHeight="1">
      <c r="A197" s="4"/>
      <c r="B197" s="4"/>
      <c r="C197" s="4"/>
      <c r="D197" s="4"/>
      <c r="E197" s="4"/>
      <c r="F197" s="4"/>
      <c r="G197" s="4"/>
      <c r="H197" s="4"/>
      <c r="I197" s="4"/>
      <c r="J197" s="4"/>
      <c r="K197" s="4"/>
      <c r="L197" s="4"/>
      <c r="M197" s="4"/>
      <c r="N197" s="4"/>
      <c r="O197" s="4"/>
      <c r="P197" s="4"/>
      <c r="Q197" s="4"/>
    </row>
    <row r="198" ht="13.5" customHeight="1">
      <c r="A198" s="4"/>
      <c r="B198" s="4"/>
      <c r="C198" s="4"/>
      <c r="D198" s="4"/>
      <c r="E198" s="4"/>
      <c r="F198" s="4"/>
      <c r="G198" s="4"/>
      <c r="H198" s="4"/>
      <c r="I198" s="4"/>
      <c r="J198" s="4"/>
      <c r="K198" s="4"/>
      <c r="L198" s="4"/>
      <c r="M198" s="4"/>
      <c r="N198" s="4"/>
      <c r="O198" s="4"/>
      <c r="P198" s="4"/>
      <c r="Q198" s="4"/>
    </row>
    <row r="199" ht="13.5" customHeight="1">
      <c r="A199" s="4"/>
      <c r="B199" s="4"/>
      <c r="C199" s="4"/>
      <c r="D199" s="4"/>
      <c r="E199" s="4"/>
      <c r="F199" s="4"/>
      <c r="G199" s="4"/>
      <c r="H199" s="4"/>
      <c r="I199" s="4"/>
      <c r="J199" s="4"/>
      <c r="K199" s="4"/>
      <c r="L199" s="4"/>
      <c r="M199" s="4"/>
      <c r="N199" s="4"/>
      <c r="O199" s="4"/>
      <c r="P199" s="4"/>
      <c r="Q199" s="4"/>
    </row>
    <row r="200" ht="13.5" customHeight="1">
      <c r="A200" s="4"/>
      <c r="B200" s="4"/>
      <c r="C200" s="4"/>
      <c r="D200" s="4"/>
      <c r="E200" s="4"/>
      <c r="F200" s="4"/>
      <c r="G200" s="4"/>
      <c r="H200" s="4"/>
      <c r="I200" s="4"/>
      <c r="J200" s="4"/>
      <c r="K200" s="4"/>
      <c r="L200" s="4"/>
      <c r="M200" s="4"/>
      <c r="N200" s="4"/>
      <c r="O200" s="4"/>
      <c r="P200" s="4"/>
      <c r="Q200" s="4"/>
    </row>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Q1"/>
    <mergeCell ref="A3:Q3"/>
  </mergeCells>
  <dataValidations>
    <dataValidation type="list" allowBlank="1" sqref="C6:K9">
      <formula1>'09_DanhMuc'!$D$3:$D$7</formula1>
    </dataValidation>
    <dataValidation type="decimal" allowBlank="1" sqref="P6:P9">
      <formula1>0.0</formula1>
      <formula2>100.0</formula2>
    </dataValidation>
    <dataValidation type="list" allowBlank="1" sqref="Q6:Q9">
      <formula1>'09_DanhMuc'!$E$3:$E$4</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9.0"/>
    <col customWidth="1" min="3" max="3" width="18.0"/>
    <col customWidth="1" min="4" max="4" width="25.0"/>
    <col customWidth="1" min="5" max="5" width="67.75"/>
    <col customWidth="1" min="6" max="6" width="104.38"/>
    <col customWidth="1" min="7" max="7" width="13.0"/>
    <col customWidth="1" min="8" max="8" width="86.5"/>
    <col customWidth="1" min="9" max="9" width="16.0"/>
    <col customWidth="1" min="10" max="10" width="92.5"/>
    <col customWidth="1" min="11" max="26" width="8.63"/>
  </cols>
  <sheetData>
    <row r="1" ht="15.0" customHeight="1">
      <c r="A1" s="1" t="s">
        <v>582</v>
      </c>
      <c r="B1" s="2"/>
      <c r="C1" s="2"/>
      <c r="D1" s="2"/>
      <c r="E1" s="2"/>
      <c r="F1" s="2"/>
      <c r="G1" s="2"/>
      <c r="H1" s="2"/>
      <c r="I1" s="2"/>
      <c r="J1" s="3"/>
      <c r="K1" s="4"/>
      <c r="L1" s="4"/>
      <c r="M1" s="4"/>
      <c r="N1" s="4"/>
      <c r="O1" s="4"/>
      <c r="P1" s="4"/>
      <c r="Q1" s="4"/>
    </row>
    <row r="2" ht="13.5" customHeight="1">
      <c r="A2" s="4"/>
      <c r="B2" s="4"/>
      <c r="C2" s="4"/>
      <c r="D2" s="4"/>
      <c r="E2" s="4"/>
      <c r="F2" s="4"/>
      <c r="G2" s="4"/>
      <c r="H2" s="4"/>
      <c r="I2" s="4"/>
      <c r="J2" s="4"/>
      <c r="K2" s="4"/>
      <c r="L2" s="4"/>
      <c r="M2" s="4"/>
      <c r="N2" s="4"/>
      <c r="O2" s="4"/>
      <c r="P2" s="4"/>
      <c r="Q2" s="4"/>
    </row>
    <row r="3" ht="10.5" customHeight="1">
      <c r="A3" s="10" t="s">
        <v>583</v>
      </c>
      <c r="B3" s="2"/>
      <c r="C3" s="2"/>
      <c r="D3" s="2"/>
      <c r="E3" s="2"/>
      <c r="F3" s="2"/>
      <c r="G3" s="2"/>
      <c r="H3" s="2"/>
      <c r="I3" s="2"/>
      <c r="J3" s="3"/>
      <c r="K3" s="4"/>
      <c r="L3" s="4"/>
      <c r="M3" s="4"/>
      <c r="N3" s="4"/>
      <c r="O3" s="4"/>
      <c r="P3" s="4"/>
      <c r="Q3" s="4"/>
    </row>
    <row r="4" ht="13.5" customHeight="1">
      <c r="A4" s="4"/>
      <c r="B4" s="4"/>
      <c r="C4" s="4"/>
      <c r="D4" s="4"/>
      <c r="E4" s="4"/>
      <c r="F4" s="4"/>
      <c r="G4" s="4"/>
      <c r="H4" s="4"/>
      <c r="I4" s="4"/>
      <c r="J4" s="4"/>
      <c r="K4" s="4"/>
      <c r="L4" s="4"/>
      <c r="M4" s="4"/>
      <c r="N4" s="4"/>
      <c r="O4" s="4"/>
      <c r="P4" s="4"/>
      <c r="Q4" s="4"/>
    </row>
    <row r="5" ht="13.5" customHeight="1">
      <c r="A5" s="5" t="s">
        <v>148</v>
      </c>
      <c r="B5" s="5" t="s">
        <v>584</v>
      </c>
      <c r="C5" s="5" t="s">
        <v>351</v>
      </c>
      <c r="D5" s="5" t="s">
        <v>556</v>
      </c>
      <c r="E5" s="5" t="s">
        <v>585</v>
      </c>
      <c r="F5" s="5" t="s">
        <v>586</v>
      </c>
      <c r="G5" s="5" t="s">
        <v>587</v>
      </c>
      <c r="H5" s="5" t="s">
        <v>588</v>
      </c>
      <c r="I5" s="5" t="s">
        <v>589</v>
      </c>
      <c r="J5" s="5" t="s">
        <v>115</v>
      </c>
      <c r="K5" s="4"/>
      <c r="L5" s="4"/>
      <c r="M5" s="4"/>
      <c r="N5" s="4"/>
      <c r="O5" s="4"/>
      <c r="P5" s="4"/>
      <c r="Q5" s="4"/>
    </row>
    <row r="6">
      <c r="A6" s="32" t="s">
        <v>590</v>
      </c>
      <c r="B6" s="32" t="s">
        <v>37</v>
      </c>
      <c r="C6" s="32" t="s">
        <v>158</v>
      </c>
      <c r="D6" s="32" t="s">
        <v>128</v>
      </c>
      <c r="E6" s="32" t="s">
        <v>591</v>
      </c>
      <c r="F6" s="44" t="s">
        <v>592</v>
      </c>
      <c r="G6" s="45">
        <v>46216.0</v>
      </c>
      <c r="H6" s="32" t="s">
        <v>593</v>
      </c>
      <c r="I6" s="32" t="s">
        <v>17</v>
      </c>
      <c r="J6" s="46"/>
      <c r="K6" s="4"/>
      <c r="L6" s="4"/>
      <c r="M6" s="4"/>
      <c r="N6" s="4"/>
      <c r="O6" s="4"/>
      <c r="P6" s="4"/>
      <c r="Q6" s="4"/>
    </row>
    <row r="7">
      <c r="A7" s="32" t="s">
        <v>594</v>
      </c>
      <c r="B7" s="32" t="s">
        <v>35</v>
      </c>
      <c r="C7" s="32" t="s">
        <v>163</v>
      </c>
      <c r="D7" s="32" t="s">
        <v>128</v>
      </c>
      <c r="E7" s="32" t="s">
        <v>595</v>
      </c>
      <c r="F7" s="44" t="s">
        <v>596</v>
      </c>
      <c r="G7" s="45">
        <v>46216.0</v>
      </c>
      <c r="H7" s="32" t="s">
        <v>597</v>
      </c>
      <c r="I7" s="32" t="s">
        <v>17</v>
      </c>
      <c r="J7" s="46"/>
      <c r="K7" s="4"/>
      <c r="L7" s="4"/>
      <c r="M7" s="4"/>
      <c r="N7" s="4"/>
      <c r="O7" s="4"/>
      <c r="P7" s="4"/>
      <c r="Q7" s="4"/>
    </row>
    <row r="8">
      <c r="A8" s="32" t="s">
        <v>598</v>
      </c>
      <c r="B8" s="32" t="s">
        <v>35</v>
      </c>
      <c r="C8" s="32" t="s">
        <v>168</v>
      </c>
      <c r="D8" s="32" t="s">
        <v>128</v>
      </c>
      <c r="E8" s="32" t="s">
        <v>599</v>
      </c>
      <c r="F8" s="44" t="s">
        <v>596</v>
      </c>
      <c r="G8" s="45">
        <v>46216.0</v>
      </c>
      <c r="H8" s="32" t="s">
        <v>600</v>
      </c>
      <c r="I8" s="32" t="s">
        <v>17</v>
      </c>
      <c r="J8" s="46"/>
      <c r="K8" s="4"/>
      <c r="L8" s="4"/>
      <c r="M8" s="4"/>
      <c r="N8" s="4"/>
      <c r="O8" s="4"/>
      <c r="P8" s="4"/>
      <c r="Q8" s="4"/>
    </row>
    <row r="9">
      <c r="A9" s="32" t="s">
        <v>601</v>
      </c>
      <c r="B9" s="32" t="s">
        <v>35</v>
      </c>
      <c r="C9" s="32" t="s">
        <v>173</v>
      </c>
      <c r="D9" s="32" t="s">
        <v>128</v>
      </c>
      <c r="E9" s="32" t="s">
        <v>602</v>
      </c>
      <c r="F9" s="44" t="s">
        <v>603</v>
      </c>
      <c r="G9" s="45">
        <v>46216.0</v>
      </c>
      <c r="H9" s="32" t="s">
        <v>604</v>
      </c>
      <c r="I9" s="32" t="s">
        <v>17</v>
      </c>
      <c r="J9" s="46"/>
      <c r="K9" s="4"/>
      <c r="L9" s="4"/>
      <c r="M9" s="4"/>
      <c r="N9" s="4"/>
      <c r="O9" s="4"/>
      <c r="P9" s="4"/>
      <c r="Q9" s="4"/>
    </row>
    <row r="10">
      <c r="A10" s="32" t="s">
        <v>605</v>
      </c>
      <c r="B10" s="32" t="s">
        <v>37</v>
      </c>
      <c r="C10" s="32" t="s">
        <v>178</v>
      </c>
      <c r="D10" s="32" t="s">
        <v>120</v>
      </c>
      <c r="E10" s="32" t="s">
        <v>606</v>
      </c>
      <c r="F10" s="44" t="s">
        <v>607</v>
      </c>
      <c r="G10" s="45">
        <v>46216.0</v>
      </c>
      <c r="H10" s="32" t="s">
        <v>608</v>
      </c>
      <c r="I10" s="32" t="s">
        <v>17</v>
      </c>
      <c r="J10" s="46"/>
      <c r="K10" s="4"/>
      <c r="L10" s="4"/>
      <c r="M10" s="4"/>
      <c r="N10" s="4"/>
      <c r="O10" s="4"/>
      <c r="P10" s="4"/>
      <c r="Q10" s="4"/>
    </row>
    <row r="11">
      <c r="A11" s="32" t="s">
        <v>609</v>
      </c>
      <c r="B11" s="32" t="s">
        <v>35</v>
      </c>
      <c r="C11" s="32" t="s">
        <v>183</v>
      </c>
      <c r="D11" s="32" t="s">
        <v>120</v>
      </c>
      <c r="E11" s="32" t="s">
        <v>610</v>
      </c>
      <c r="F11" s="44" t="s">
        <v>611</v>
      </c>
      <c r="G11" s="45">
        <v>46216.0</v>
      </c>
      <c r="H11" s="32" t="s">
        <v>612</v>
      </c>
      <c r="I11" s="32" t="s">
        <v>17</v>
      </c>
      <c r="J11" s="46"/>
      <c r="K11" s="4"/>
      <c r="L11" s="4"/>
      <c r="M11" s="4"/>
      <c r="N11" s="4"/>
      <c r="O11" s="4"/>
      <c r="P11" s="4"/>
      <c r="Q11" s="4"/>
    </row>
    <row r="12">
      <c r="A12" s="32" t="s">
        <v>613</v>
      </c>
      <c r="B12" s="32" t="s">
        <v>37</v>
      </c>
      <c r="C12" s="32" t="s">
        <v>188</v>
      </c>
      <c r="D12" s="32" t="s">
        <v>124</v>
      </c>
      <c r="E12" s="32" t="s">
        <v>614</v>
      </c>
      <c r="F12" s="44" t="s">
        <v>615</v>
      </c>
      <c r="G12" s="45">
        <v>46216.0</v>
      </c>
      <c r="H12" s="32" t="s">
        <v>616</v>
      </c>
      <c r="I12" s="32" t="s">
        <v>17</v>
      </c>
      <c r="J12" s="46"/>
      <c r="K12" s="4"/>
      <c r="L12" s="4"/>
      <c r="M12" s="4"/>
      <c r="N12" s="4"/>
      <c r="O12" s="4"/>
      <c r="P12" s="4"/>
      <c r="Q12" s="4"/>
    </row>
    <row r="13">
      <c r="A13" s="32" t="s">
        <v>617</v>
      </c>
      <c r="B13" s="32" t="s">
        <v>37</v>
      </c>
      <c r="C13" s="32" t="s">
        <v>193</v>
      </c>
      <c r="D13" s="32" t="s">
        <v>124</v>
      </c>
      <c r="E13" s="32" t="s">
        <v>618</v>
      </c>
      <c r="F13" s="44" t="s">
        <v>619</v>
      </c>
      <c r="G13" s="45">
        <v>46216.0</v>
      </c>
      <c r="H13" s="32" t="s">
        <v>620</v>
      </c>
      <c r="I13" s="32" t="s">
        <v>17</v>
      </c>
      <c r="J13" s="46"/>
      <c r="K13" s="4"/>
      <c r="L13" s="4"/>
      <c r="M13" s="4"/>
      <c r="N13" s="4"/>
      <c r="O13" s="4"/>
      <c r="P13" s="4"/>
      <c r="Q13" s="4"/>
    </row>
    <row r="14">
      <c r="A14" s="32" t="s">
        <v>621</v>
      </c>
      <c r="B14" s="32" t="s">
        <v>37</v>
      </c>
      <c r="C14" s="32" t="s">
        <v>198</v>
      </c>
      <c r="D14" s="32" t="s">
        <v>116</v>
      </c>
      <c r="E14" s="32" t="s">
        <v>622</v>
      </c>
      <c r="F14" s="44" t="s">
        <v>623</v>
      </c>
      <c r="G14" s="45">
        <v>46216.0</v>
      </c>
      <c r="H14" s="32" t="s">
        <v>624</v>
      </c>
      <c r="I14" s="32" t="s">
        <v>17</v>
      </c>
      <c r="J14" s="46"/>
      <c r="K14" s="4"/>
      <c r="L14" s="4"/>
      <c r="M14" s="4"/>
      <c r="N14" s="4"/>
      <c r="O14" s="4"/>
      <c r="P14" s="4"/>
      <c r="Q14" s="4"/>
    </row>
    <row r="15">
      <c r="A15" s="32" t="s">
        <v>625</v>
      </c>
      <c r="B15" s="32" t="s">
        <v>37</v>
      </c>
      <c r="C15" s="32" t="s">
        <v>203</v>
      </c>
      <c r="D15" s="32" t="s">
        <v>124</v>
      </c>
      <c r="E15" s="32" t="s">
        <v>626</v>
      </c>
      <c r="F15" s="44" t="s">
        <v>627</v>
      </c>
      <c r="G15" s="45">
        <v>46216.0</v>
      </c>
      <c r="H15" s="32" t="s">
        <v>628</v>
      </c>
      <c r="I15" s="32" t="s">
        <v>17</v>
      </c>
      <c r="J15" s="46"/>
      <c r="K15" s="4"/>
      <c r="L15" s="4"/>
      <c r="M15" s="4"/>
      <c r="N15" s="4"/>
      <c r="O15" s="4"/>
      <c r="P15" s="4"/>
      <c r="Q15" s="4"/>
    </row>
    <row r="16">
      <c r="A16" s="32" t="s">
        <v>629</v>
      </c>
      <c r="B16" s="32" t="s">
        <v>37</v>
      </c>
      <c r="C16" s="32" t="s">
        <v>208</v>
      </c>
      <c r="D16" s="32" t="s">
        <v>124</v>
      </c>
      <c r="E16" s="32" t="s">
        <v>630</v>
      </c>
      <c r="F16" s="44" t="s">
        <v>631</v>
      </c>
      <c r="G16" s="45">
        <v>46216.0</v>
      </c>
      <c r="H16" s="32" t="s">
        <v>632</v>
      </c>
      <c r="I16" s="32" t="s">
        <v>17</v>
      </c>
      <c r="J16" s="46"/>
      <c r="K16" s="4"/>
      <c r="L16" s="4"/>
      <c r="M16" s="4"/>
      <c r="N16" s="4"/>
      <c r="O16" s="4"/>
      <c r="P16" s="4"/>
      <c r="Q16" s="4"/>
    </row>
    <row r="17">
      <c r="A17" s="32" t="s">
        <v>633</v>
      </c>
      <c r="B17" s="32" t="s">
        <v>37</v>
      </c>
      <c r="C17" s="32" t="s">
        <v>213</v>
      </c>
      <c r="D17" s="32" t="s">
        <v>120</v>
      </c>
      <c r="E17" s="32" t="s">
        <v>634</v>
      </c>
      <c r="F17" s="44" t="s">
        <v>631</v>
      </c>
      <c r="G17" s="45">
        <v>46216.0</v>
      </c>
      <c r="H17" s="32" t="s">
        <v>635</v>
      </c>
      <c r="I17" s="32" t="s">
        <v>17</v>
      </c>
      <c r="J17" s="46"/>
      <c r="K17" s="4"/>
      <c r="L17" s="4"/>
      <c r="M17" s="4"/>
      <c r="N17" s="4"/>
      <c r="O17" s="4"/>
      <c r="P17" s="4"/>
      <c r="Q17" s="4"/>
    </row>
    <row r="18">
      <c r="A18" s="32" t="s">
        <v>636</v>
      </c>
      <c r="B18" s="32" t="s">
        <v>37</v>
      </c>
      <c r="C18" s="32" t="s">
        <v>218</v>
      </c>
      <c r="D18" s="32" t="s">
        <v>124</v>
      </c>
      <c r="E18" s="32" t="s">
        <v>637</v>
      </c>
      <c r="F18" s="44" t="s">
        <v>638</v>
      </c>
      <c r="G18" s="45">
        <v>46216.0</v>
      </c>
      <c r="H18" s="32" t="s">
        <v>639</v>
      </c>
      <c r="I18" s="32" t="s">
        <v>17</v>
      </c>
      <c r="J18" s="46"/>
      <c r="K18" s="4"/>
      <c r="L18" s="4"/>
      <c r="M18" s="4"/>
      <c r="N18" s="4"/>
      <c r="O18" s="4"/>
      <c r="P18" s="4"/>
      <c r="Q18" s="4"/>
    </row>
    <row r="19">
      <c r="A19" s="32" t="s">
        <v>640</v>
      </c>
      <c r="B19" s="32" t="s">
        <v>37</v>
      </c>
      <c r="C19" s="32" t="s">
        <v>223</v>
      </c>
      <c r="D19" s="32" t="s">
        <v>128</v>
      </c>
      <c r="E19" s="32" t="s">
        <v>641</v>
      </c>
      <c r="F19" s="44" t="s">
        <v>642</v>
      </c>
      <c r="G19" s="45">
        <v>46216.0</v>
      </c>
      <c r="H19" s="32" t="s">
        <v>643</v>
      </c>
      <c r="I19" s="32" t="s">
        <v>17</v>
      </c>
      <c r="J19" s="46"/>
      <c r="K19" s="4"/>
      <c r="L19" s="4"/>
      <c r="M19" s="4"/>
      <c r="N19" s="4"/>
      <c r="O19" s="4"/>
      <c r="P19" s="4"/>
      <c r="Q19" s="4"/>
    </row>
    <row r="20">
      <c r="A20" s="32" t="s">
        <v>644</v>
      </c>
      <c r="B20" s="32" t="s">
        <v>37</v>
      </c>
      <c r="C20" s="32" t="s">
        <v>228</v>
      </c>
      <c r="D20" s="32" t="s">
        <v>116</v>
      </c>
      <c r="E20" s="32" t="s">
        <v>645</v>
      </c>
      <c r="F20" s="44" t="s">
        <v>646</v>
      </c>
      <c r="G20" s="45">
        <v>46216.0</v>
      </c>
      <c r="H20" s="32" t="s">
        <v>647</v>
      </c>
      <c r="I20" s="32" t="s">
        <v>17</v>
      </c>
      <c r="J20" s="46"/>
      <c r="K20" s="4"/>
      <c r="L20" s="4"/>
      <c r="M20" s="4"/>
      <c r="N20" s="4"/>
      <c r="O20" s="4"/>
      <c r="P20" s="4"/>
      <c r="Q20" s="4"/>
    </row>
    <row r="21">
      <c r="A21" s="32" t="s">
        <v>648</v>
      </c>
      <c r="B21" s="32" t="s">
        <v>22</v>
      </c>
      <c r="C21" s="32" t="s">
        <v>233</v>
      </c>
      <c r="D21" s="32" t="s">
        <v>128</v>
      </c>
      <c r="E21" s="32" t="s">
        <v>649</v>
      </c>
      <c r="F21" s="44" t="s">
        <v>650</v>
      </c>
      <c r="G21" s="45">
        <v>46216.0</v>
      </c>
      <c r="H21" s="32" t="s">
        <v>651</v>
      </c>
      <c r="I21" s="32" t="s">
        <v>17</v>
      </c>
      <c r="J21" s="46"/>
      <c r="K21" s="4"/>
      <c r="L21" s="4"/>
      <c r="M21" s="4"/>
      <c r="N21" s="4"/>
      <c r="O21" s="4"/>
      <c r="P21" s="4"/>
      <c r="Q21" s="4"/>
    </row>
    <row r="22">
      <c r="A22" s="32" t="s">
        <v>652</v>
      </c>
      <c r="B22" s="32" t="s">
        <v>39</v>
      </c>
      <c r="C22" s="32" t="s">
        <v>238</v>
      </c>
      <c r="D22" s="32" t="s">
        <v>116</v>
      </c>
      <c r="E22" s="32" t="s">
        <v>653</v>
      </c>
      <c r="F22" s="32" t="s">
        <v>654</v>
      </c>
      <c r="G22" s="45">
        <v>46216.0</v>
      </c>
      <c r="H22" s="32" t="s">
        <v>655</v>
      </c>
      <c r="I22" s="32" t="s">
        <v>32</v>
      </c>
      <c r="J22" s="32" t="s">
        <v>656</v>
      </c>
      <c r="K22" s="4"/>
      <c r="L22" s="4"/>
      <c r="M22" s="4"/>
      <c r="N22" s="4"/>
      <c r="O22" s="4"/>
      <c r="P22" s="4"/>
      <c r="Q22" s="4"/>
    </row>
    <row r="23">
      <c r="A23" s="32" t="s">
        <v>657</v>
      </c>
      <c r="B23" s="32" t="s">
        <v>39</v>
      </c>
      <c r="C23" s="32" t="s">
        <v>243</v>
      </c>
      <c r="D23" s="32" t="s">
        <v>116</v>
      </c>
      <c r="E23" s="32" t="s">
        <v>658</v>
      </c>
      <c r="F23" s="32" t="s">
        <v>659</v>
      </c>
      <c r="G23" s="45">
        <v>46216.0</v>
      </c>
      <c r="H23" s="32" t="s">
        <v>660</v>
      </c>
      <c r="I23" s="32" t="s">
        <v>32</v>
      </c>
      <c r="J23" s="32" t="s">
        <v>661</v>
      </c>
      <c r="K23" s="4"/>
      <c r="L23" s="4"/>
      <c r="M23" s="4"/>
      <c r="N23" s="4"/>
      <c r="O23" s="4"/>
      <c r="P23" s="4"/>
      <c r="Q23" s="4"/>
    </row>
    <row r="24">
      <c r="A24" s="32" t="s">
        <v>662</v>
      </c>
      <c r="B24" s="32" t="s">
        <v>29</v>
      </c>
      <c r="C24" s="32" t="s">
        <v>248</v>
      </c>
      <c r="D24" s="32" t="s">
        <v>124</v>
      </c>
      <c r="E24" s="32" t="s">
        <v>663</v>
      </c>
      <c r="F24" s="32" t="s">
        <v>664</v>
      </c>
      <c r="G24" s="45">
        <v>46216.0</v>
      </c>
      <c r="H24" s="32" t="s">
        <v>665</v>
      </c>
      <c r="I24" s="32" t="s">
        <v>17</v>
      </c>
      <c r="J24" s="32" t="s">
        <v>666</v>
      </c>
      <c r="K24" s="4"/>
      <c r="L24" s="4"/>
      <c r="M24" s="4"/>
      <c r="N24" s="4"/>
      <c r="O24" s="4"/>
      <c r="P24" s="4"/>
      <c r="Q24" s="4"/>
    </row>
    <row r="25">
      <c r="A25" s="32" t="s">
        <v>667</v>
      </c>
      <c r="B25" s="32" t="s">
        <v>22</v>
      </c>
      <c r="C25" s="32" t="s">
        <v>253</v>
      </c>
      <c r="D25" s="32" t="s">
        <v>124</v>
      </c>
      <c r="E25" s="32" t="s">
        <v>668</v>
      </c>
      <c r="F25" s="44" t="s">
        <v>669</v>
      </c>
      <c r="G25" s="45">
        <v>46216.0</v>
      </c>
      <c r="H25" s="32" t="s">
        <v>670</v>
      </c>
      <c r="I25" s="32" t="s">
        <v>17</v>
      </c>
      <c r="J25" s="46"/>
      <c r="K25" s="4"/>
      <c r="L25" s="4"/>
      <c r="M25" s="4"/>
      <c r="N25" s="4"/>
      <c r="O25" s="4"/>
      <c r="P25" s="4"/>
      <c r="Q25" s="4"/>
    </row>
    <row r="26">
      <c r="A26" s="32" t="s">
        <v>671</v>
      </c>
      <c r="B26" s="32" t="s">
        <v>29</v>
      </c>
      <c r="C26" s="32" t="s">
        <v>258</v>
      </c>
      <c r="D26" s="32" t="s">
        <v>120</v>
      </c>
      <c r="E26" s="32" t="s">
        <v>672</v>
      </c>
      <c r="F26" s="32" t="s">
        <v>673</v>
      </c>
      <c r="G26" s="45">
        <v>46216.0</v>
      </c>
      <c r="H26" s="32" t="s">
        <v>674</v>
      </c>
      <c r="I26" s="32" t="s">
        <v>17</v>
      </c>
      <c r="J26" s="32" t="s">
        <v>675</v>
      </c>
      <c r="K26" s="4"/>
      <c r="L26" s="4"/>
      <c r="M26" s="4"/>
      <c r="N26" s="4"/>
      <c r="O26" s="4"/>
      <c r="P26" s="4"/>
      <c r="Q26" s="4"/>
    </row>
    <row r="27">
      <c r="A27" s="32" t="s">
        <v>676</v>
      </c>
      <c r="B27" s="32" t="s">
        <v>29</v>
      </c>
      <c r="C27" s="32" t="s">
        <v>263</v>
      </c>
      <c r="D27" s="32" t="s">
        <v>116</v>
      </c>
      <c r="E27" s="32" t="s">
        <v>677</v>
      </c>
      <c r="F27" s="32" t="s">
        <v>678</v>
      </c>
      <c r="G27" s="45">
        <v>46216.0</v>
      </c>
      <c r="H27" s="32" t="s">
        <v>679</v>
      </c>
      <c r="I27" s="32" t="s">
        <v>17</v>
      </c>
      <c r="J27" s="32" t="s">
        <v>680</v>
      </c>
      <c r="K27" s="4"/>
      <c r="L27" s="4"/>
      <c r="M27" s="4"/>
      <c r="N27" s="4"/>
      <c r="O27" s="4"/>
      <c r="P27" s="4"/>
      <c r="Q27" s="4"/>
    </row>
    <row r="28">
      <c r="A28" s="32" t="s">
        <v>681</v>
      </c>
      <c r="B28" s="32" t="s">
        <v>39</v>
      </c>
      <c r="C28" s="32" t="s">
        <v>268</v>
      </c>
      <c r="D28" s="32" t="s">
        <v>116</v>
      </c>
      <c r="E28" s="32" t="s">
        <v>682</v>
      </c>
      <c r="F28" s="32" t="s">
        <v>683</v>
      </c>
      <c r="G28" s="45">
        <v>46216.0</v>
      </c>
      <c r="H28" s="32" t="s">
        <v>684</v>
      </c>
      <c r="I28" s="32" t="s">
        <v>32</v>
      </c>
      <c r="J28" s="32" t="s">
        <v>685</v>
      </c>
      <c r="K28" s="4"/>
      <c r="L28" s="4"/>
      <c r="M28" s="4"/>
      <c r="N28" s="4"/>
      <c r="O28" s="4"/>
      <c r="P28" s="4"/>
      <c r="Q28" s="4"/>
    </row>
    <row r="29">
      <c r="A29" s="32" t="s">
        <v>686</v>
      </c>
      <c r="B29" s="32" t="s">
        <v>39</v>
      </c>
      <c r="C29" s="32" t="s">
        <v>273</v>
      </c>
      <c r="D29" s="32" t="s">
        <v>120</v>
      </c>
      <c r="E29" s="32" t="s">
        <v>687</v>
      </c>
      <c r="F29" s="32" t="s">
        <v>688</v>
      </c>
      <c r="G29" s="45">
        <v>46216.0</v>
      </c>
      <c r="H29" s="32" t="s">
        <v>689</v>
      </c>
      <c r="I29" s="32" t="s">
        <v>17</v>
      </c>
      <c r="J29" s="32" t="s">
        <v>690</v>
      </c>
      <c r="K29" s="4"/>
      <c r="L29" s="4"/>
      <c r="M29" s="4"/>
      <c r="N29" s="4"/>
      <c r="O29" s="4"/>
      <c r="P29" s="4"/>
      <c r="Q29" s="4"/>
    </row>
    <row r="30">
      <c r="A30" s="32" t="s">
        <v>691</v>
      </c>
      <c r="B30" s="32" t="s">
        <v>39</v>
      </c>
      <c r="C30" s="32" t="s">
        <v>278</v>
      </c>
      <c r="D30" s="32" t="s">
        <v>124</v>
      </c>
      <c r="E30" s="32" t="s">
        <v>692</v>
      </c>
      <c r="F30" s="32" t="s">
        <v>693</v>
      </c>
      <c r="G30" s="45">
        <v>46216.0</v>
      </c>
      <c r="H30" s="32" t="s">
        <v>694</v>
      </c>
      <c r="I30" s="32" t="s">
        <v>17</v>
      </c>
      <c r="J30" s="46"/>
      <c r="K30" s="4"/>
      <c r="L30" s="4"/>
      <c r="M30" s="4"/>
      <c r="N30" s="4"/>
      <c r="O30" s="4"/>
      <c r="P30" s="4"/>
      <c r="Q30" s="4"/>
    </row>
    <row r="31">
      <c r="A31" s="32" t="s">
        <v>695</v>
      </c>
      <c r="B31" s="32" t="s">
        <v>39</v>
      </c>
      <c r="C31" s="32" t="s">
        <v>283</v>
      </c>
      <c r="D31" s="32" t="s">
        <v>116</v>
      </c>
      <c r="E31" s="32" t="s">
        <v>696</v>
      </c>
      <c r="F31" s="32" t="s">
        <v>697</v>
      </c>
      <c r="G31" s="45">
        <v>46216.0</v>
      </c>
      <c r="H31" s="32" t="s">
        <v>698</v>
      </c>
      <c r="I31" s="32" t="s">
        <v>32</v>
      </c>
      <c r="J31" s="32" t="s">
        <v>661</v>
      </c>
      <c r="K31" s="4"/>
      <c r="L31" s="4"/>
      <c r="M31" s="4"/>
      <c r="N31" s="4"/>
      <c r="O31" s="4"/>
      <c r="P31" s="4"/>
      <c r="Q31" s="4"/>
    </row>
    <row r="32">
      <c r="A32" s="32" t="s">
        <v>699</v>
      </c>
      <c r="B32" s="32" t="s">
        <v>39</v>
      </c>
      <c r="C32" s="32" t="s">
        <v>288</v>
      </c>
      <c r="D32" s="32" t="s">
        <v>124</v>
      </c>
      <c r="E32" s="32" t="s">
        <v>700</v>
      </c>
      <c r="F32" s="32" t="s">
        <v>701</v>
      </c>
      <c r="G32" s="45">
        <v>46216.0</v>
      </c>
      <c r="H32" s="32" t="s">
        <v>702</v>
      </c>
      <c r="I32" s="32" t="s">
        <v>32</v>
      </c>
      <c r="J32" s="32" t="s">
        <v>703</v>
      </c>
      <c r="K32" s="4"/>
      <c r="L32" s="4"/>
      <c r="M32" s="4"/>
      <c r="N32" s="4"/>
      <c r="O32" s="4"/>
      <c r="P32" s="4"/>
      <c r="Q32" s="4"/>
    </row>
    <row r="33">
      <c r="A33" s="32" t="s">
        <v>704</v>
      </c>
      <c r="B33" s="32" t="s">
        <v>39</v>
      </c>
      <c r="C33" s="32" t="s">
        <v>293</v>
      </c>
      <c r="D33" s="32" t="s">
        <v>128</v>
      </c>
      <c r="E33" s="32" t="s">
        <v>705</v>
      </c>
      <c r="F33" s="32" t="s">
        <v>706</v>
      </c>
      <c r="G33" s="45">
        <v>46216.0</v>
      </c>
      <c r="H33" s="32" t="s">
        <v>707</v>
      </c>
      <c r="I33" s="32" t="s">
        <v>32</v>
      </c>
      <c r="J33" s="32" t="s">
        <v>708</v>
      </c>
      <c r="K33" s="4"/>
      <c r="L33" s="4"/>
      <c r="M33" s="4"/>
      <c r="N33" s="4"/>
      <c r="O33" s="4"/>
      <c r="P33" s="4"/>
      <c r="Q33" s="4"/>
    </row>
    <row r="34">
      <c r="A34" s="32" t="s">
        <v>709</v>
      </c>
      <c r="B34" s="32" t="s">
        <v>39</v>
      </c>
      <c r="C34" s="32" t="s">
        <v>298</v>
      </c>
      <c r="D34" s="32" t="s">
        <v>128</v>
      </c>
      <c r="E34" s="32" t="s">
        <v>710</v>
      </c>
      <c r="F34" s="32" t="s">
        <v>711</v>
      </c>
      <c r="G34" s="45">
        <v>46216.0</v>
      </c>
      <c r="H34" s="32" t="s">
        <v>712</v>
      </c>
      <c r="I34" s="32" t="s">
        <v>32</v>
      </c>
      <c r="J34" s="32" t="s">
        <v>713</v>
      </c>
      <c r="K34" s="4"/>
      <c r="L34" s="4"/>
      <c r="M34" s="4"/>
      <c r="N34" s="4"/>
      <c r="O34" s="4"/>
      <c r="P34" s="4"/>
      <c r="Q34" s="4"/>
    </row>
    <row r="35">
      <c r="A35" s="32" t="s">
        <v>714</v>
      </c>
      <c r="B35" s="32" t="s">
        <v>39</v>
      </c>
      <c r="C35" s="32" t="s">
        <v>303</v>
      </c>
      <c r="D35" s="32" t="s">
        <v>124</v>
      </c>
      <c r="E35" s="32" t="s">
        <v>715</v>
      </c>
      <c r="F35" s="32" t="s">
        <v>716</v>
      </c>
      <c r="G35" s="45">
        <v>46216.0</v>
      </c>
      <c r="H35" s="32" t="s">
        <v>717</v>
      </c>
      <c r="I35" s="32" t="s">
        <v>32</v>
      </c>
      <c r="J35" s="32" t="s">
        <v>718</v>
      </c>
      <c r="K35" s="4"/>
      <c r="L35" s="4"/>
      <c r="M35" s="4"/>
      <c r="N35" s="4"/>
      <c r="O35" s="4"/>
      <c r="P35" s="4"/>
      <c r="Q35" s="4"/>
    </row>
    <row r="36">
      <c r="A36" s="32" t="s">
        <v>719</v>
      </c>
      <c r="B36" s="32" t="s">
        <v>37</v>
      </c>
      <c r="C36" s="32" t="s">
        <v>308</v>
      </c>
      <c r="D36" s="32" t="s">
        <v>128</v>
      </c>
      <c r="E36" s="32" t="s">
        <v>720</v>
      </c>
      <c r="F36" s="32" t="s">
        <v>721</v>
      </c>
      <c r="G36" s="45">
        <v>46216.0</v>
      </c>
      <c r="H36" s="32" t="s">
        <v>722</v>
      </c>
      <c r="I36" s="32" t="s">
        <v>25</v>
      </c>
      <c r="J36" s="32" t="s">
        <v>723</v>
      </c>
      <c r="K36" s="4"/>
      <c r="L36" s="4"/>
      <c r="M36" s="4"/>
      <c r="N36" s="4"/>
      <c r="O36" s="4"/>
      <c r="P36" s="4"/>
      <c r="Q36" s="4"/>
    </row>
    <row r="37">
      <c r="A37" s="32" t="s">
        <v>724</v>
      </c>
      <c r="B37" s="32" t="s">
        <v>29</v>
      </c>
      <c r="C37" s="32" t="s">
        <v>313</v>
      </c>
      <c r="D37" s="32" t="s">
        <v>120</v>
      </c>
      <c r="E37" s="32" t="s">
        <v>725</v>
      </c>
      <c r="F37" s="44" t="s">
        <v>726</v>
      </c>
      <c r="G37" s="45">
        <v>46216.0</v>
      </c>
      <c r="H37" s="32" t="s">
        <v>727</v>
      </c>
      <c r="I37" s="32" t="s">
        <v>17</v>
      </c>
      <c r="J37" s="32" t="s">
        <v>728</v>
      </c>
      <c r="K37" s="4"/>
      <c r="L37" s="4"/>
      <c r="M37" s="4"/>
      <c r="N37" s="4"/>
      <c r="O37" s="4"/>
      <c r="P37" s="4"/>
      <c r="Q37" s="4"/>
    </row>
    <row r="38">
      <c r="A38" s="32" t="s">
        <v>729</v>
      </c>
      <c r="B38" s="32" t="s">
        <v>39</v>
      </c>
      <c r="C38" s="32" t="s">
        <v>318</v>
      </c>
      <c r="D38" s="32" t="s">
        <v>128</v>
      </c>
      <c r="E38" s="32" t="s">
        <v>730</v>
      </c>
      <c r="F38" s="32" t="s">
        <v>731</v>
      </c>
      <c r="G38" s="45">
        <v>46216.0</v>
      </c>
      <c r="H38" s="32" t="s">
        <v>732</v>
      </c>
      <c r="I38" s="32" t="s">
        <v>32</v>
      </c>
      <c r="J38" s="32" t="s">
        <v>733</v>
      </c>
      <c r="K38" s="4"/>
      <c r="L38" s="4"/>
      <c r="M38" s="4"/>
      <c r="N38" s="4"/>
      <c r="O38" s="4"/>
      <c r="P38" s="4"/>
      <c r="Q38" s="4"/>
    </row>
    <row r="39">
      <c r="A39" s="32" t="s">
        <v>734</v>
      </c>
      <c r="B39" s="32" t="s">
        <v>42</v>
      </c>
      <c r="C39" s="32" t="s">
        <v>323</v>
      </c>
      <c r="D39" s="32" t="s">
        <v>120</v>
      </c>
      <c r="E39" s="32" t="s">
        <v>735</v>
      </c>
      <c r="F39" s="32" t="s">
        <v>736</v>
      </c>
      <c r="G39" s="45">
        <v>46216.0</v>
      </c>
      <c r="H39" s="32" t="s">
        <v>737</v>
      </c>
      <c r="I39" s="32" t="s">
        <v>32</v>
      </c>
      <c r="J39" s="32" t="s">
        <v>738</v>
      </c>
      <c r="K39" s="4"/>
      <c r="L39" s="4"/>
      <c r="M39" s="4"/>
      <c r="N39" s="4"/>
      <c r="O39" s="4"/>
      <c r="P39" s="4"/>
      <c r="Q39" s="4"/>
    </row>
    <row r="40">
      <c r="A40" s="32" t="s">
        <v>739</v>
      </c>
      <c r="B40" s="32" t="s">
        <v>42</v>
      </c>
      <c r="C40" s="32" t="s">
        <v>328</v>
      </c>
      <c r="D40" s="32" t="s">
        <v>120</v>
      </c>
      <c r="E40" s="32" t="s">
        <v>740</v>
      </c>
      <c r="F40" s="32" t="s">
        <v>741</v>
      </c>
      <c r="G40" s="45">
        <v>46216.0</v>
      </c>
      <c r="H40" s="32" t="s">
        <v>742</v>
      </c>
      <c r="I40" s="32" t="s">
        <v>32</v>
      </c>
      <c r="J40" s="32" t="s">
        <v>743</v>
      </c>
      <c r="K40" s="4"/>
      <c r="L40" s="4"/>
      <c r="M40" s="4"/>
      <c r="N40" s="4"/>
      <c r="O40" s="4"/>
      <c r="P40" s="4"/>
      <c r="Q40" s="4"/>
    </row>
    <row r="41">
      <c r="A41" s="32" t="s">
        <v>744</v>
      </c>
      <c r="B41" s="32" t="s">
        <v>42</v>
      </c>
      <c r="C41" s="32" t="s">
        <v>333</v>
      </c>
      <c r="D41" s="32" t="s">
        <v>120</v>
      </c>
      <c r="E41" s="32" t="s">
        <v>334</v>
      </c>
      <c r="F41" s="32" t="s">
        <v>745</v>
      </c>
      <c r="G41" s="45">
        <v>46216.0</v>
      </c>
      <c r="H41" s="32" t="s">
        <v>746</v>
      </c>
      <c r="I41" s="32" t="s">
        <v>25</v>
      </c>
      <c r="J41" s="32" t="s">
        <v>747</v>
      </c>
      <c r="K41" s="4"/>
      <c r="L41" s="4"/>
      <c r="M41" s="4"/>
      <c r="N41" s="4"/>
      <c r="O41" s="4"/>
      <c r="P41" s="4"/>
      <c r="Q41" s="4"/>
    </row>
    <row r="42">
      <c r="A42" s="32" t="s">
        <v>748</v>
      </c>
      <c r="B42" s="32" t="s">
        <v>41</v>
      </c>
      <c r="C42" s="32" t="s">
        <v>338</v>
      </c>
      <c r="D42" s="32" t="s">
        <v>120</v>
      </c>
      <c r="E42" s="32" t="s">
        <v>749</v>
      </c>
      <c r="F42" s="32" t="s">
        <v>750</v>
      </c>
      <c r="G42" s="45">
        <v>46216.0</v>
      </c>
      <c r="H42" s="32" t="s">
        <v>751</v>
      </c>
      <c r="I42" s="32" t="s">
        <v>32</v>
      </c>
      <c r="J42" s="32" t="s">
        <v>752</v>
      </c>
      <c r="K42" s="4"/>
      <c r="L42" s="4"/>
      <c r="M42" s="4"/>
      <c r="N42" s="4"/>
      <c r="O42" s="4"/>
      <c r="P42" s="4"/>
      <c r="Q42" s="4"/>
    </row>
    <row r="43">
      <c r="A43" s="32" t="s">
        <v>753</v>
      </c>
      <c r="B43" s="32" t="s">
        <v>43</v>
      </c>
      <c r="C43" s="32" t="s">
        <v>343</v>
      </c>
      <c r="D43" s="32" t="s">
        <v>120</v>
      </c>
      <c r="E43" s="32" t="s">
        <v>754</v>
      </c>
      <c r="F43" s="32" t="s">
        <v>755</v>
      </c>
      <c r="G43" s="45">
        <v>46216.0</v>
      </c>
      <c r="H43" s="32" t="s">
        <v>756</v>
      </c>
      <c r="I43" s="32" t="s">
        <v>32</v>
      </c>
      <c r="J43" s="32" t="s">
        <v>757</v>
      </c>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0.5" customHeight="1">
      <c r="A46" s="10" t="s">
        <v>758</v>
      </c>
      <c r="B46" s="2"/>
      <c r="C46" s="2"/>
      <c r="D46" s="2"/>
      <c r="E46" s="2"/>
      <c r="F46" s="2"/>
      <c r="G46" s="2"/>
      <c r="H46" s="2"/>
      <c r="I46" s="2"/>
      <c r="J46" s="3"/>
      <c r="K46" s="4"/>
      <c r="L46" s="4"/>
      <c r="M46" s="4"/>
      <c r="N46" s="4"/>
      <c r="O46" s="4"/>
      <c r="P46" s="4"/>
      <c r="Q46" s="4"/>
    </row>
    <row r="47" ht="13.5" customHeight="1">
      <c r="A47" s="5" t="s">
        <v>108</v>
      </c>
      <c r="B47" s="5" t="s">
        <v>759</v>
      </c>
      <c r="C47" s="5" t="s">
        <v>760</v>
      </c>
      <c r="D47" s="5" t="s">
        <v>761</v>
      </c>
      <c r="E47" s="5" t="s">
        <v>762</v>
      </c>
      <c r="F47" s="5" t="s">
        <v>763</v>
      </c>
      <c r="G47" s="5" t="s">
        <v>764</v>
      </c>
      <c r="H47" s="5" t="s">
        <v>765</v>
      </c>
      <c r="I47" s="5" t="s">
        <v>766</v>
      </c>
      <c r="J47" s="5" t="s">
        <v>115</v>
      </c>
      <c r="K47" s="4"/>
      <c r="L47" s="4"/>
      <c r="M47" s="4"/>
      <c r="N47" s="4"/>
      <c r="O47" s="4"/>
      <c r="P47" s="4"/>
      <c r="Q47" s="4"/>
    </row>
    <row r="48" ht="13.5" customHeight="1">
      <c r="A48" s="6">
        <v>1.0</v>
      </c>
      <c r="B48" s="6" t="s">
        <v>767</v>
      </c>
      <c r="C48" s="6" t="s">
        <v>768</v>
      </c>
      <c r="D48" s="16"/>
      <c r="E48" s="16"/>
      <c r="F48" s="16"/>
      <c r="G48" s="16"/>
      <c r="H48" s="16"/>
      <c r="I48" s="18"/>
      <c r="J48" s="16"/>
      <c r="K48" s="4"/>
      <c r="L48" s="4"/>
      <c r="M48" s="4"/>
      <c r="N48" s="4"/>
      <c r="O48" s="4"/>
      <c r="P48" s="4"/>
      <c r="Q48" s="4"/>
    </row>
    <row r="49" ht="13.5" customHeight="1">
      <c r="A49" s="6">
        <v>2.0</v>
      </c>
      <c r="B49" s="6" t="s">
        <v>15</v>
      </c>
      <c r="C49" s="6" t="s">
        <v>769</v>
      </c>
      <c r="D49" s="16"/>
      <c r="E49" s="16"/>
      <c r="F49" s="16"/>
      <c r="G49" s="16"/>
      <c r="H49" s="16"/>
      <c r="I49" s="18"/>
      <c r="J49" s="16"/>
      <c r="K49" s="4"/>
      <c r="L49" s="4"/>
      <c r="M49" s="4"/>
      <c r="N49" s="4"/>
      <c r="O49" s="4"/>
      <c r="P49" s="4"/>
      <c r="Q49" s="4"/>
    </row>
    <row r="50" ht="13.5" customHeight="1">
      <c r="A50" s="6">
        <v>3.0</v>
      </c>
      <c r="B50" s="6" t="s">
        <v>29</v>
      </c>
      <c r="C50" s="6" t="s">
        <v>770</v>
      </c>
      <c r="D50" s="16"/>
      <c r="E50" s="16"/>
      <c r="F50" s="16"/>
      <c r="G50" s="16"/>
      <c r="H50" s="16"/>
      <c r="I50" s="18"/>
      <c r="J50" s="16"/>
      <c r="K50" s="4"/>
      <c r="L50" s="4"/>
      <c r="M50" s="4"/>
      <c r="N50" s="4"/>
      <c r="O50" s="4"/>
      <c r="P50" s="4"/>
      <c r="Q50" s="4"/>
    </row>
    <row r="51" ht="13.5" customHeight="1">
      <c r="A51" s="6">
        <v>4.0</v>
      </c>
      <c r="B51" s="6" t="s">
        <v>771</v>
      </c>
      <c r="C51" s="6" t="s">
        <v>772</v>
      </c>
      <c r="D51" s="16"/>
      <c r="E51" s="16"/>
      <c r="F51" s="16"/>
      <c r="G51" s="16"/>
      <c r="H51" s="16"/>
      <c r="I51" s="18"/>
      <c r="J51" s="16"/>
      <c r="K51" s="4"/>
      <c r="L51" s="4"/>
      <c r="M51" s="4"/>
      <c r="N51" s="4"/>
      <c r="O51" s="4"/>
      <c r="P51" s="4"/>
      <c r="Q51" s="4"/>
    </row>
    <row r="52" ht="13.5" customHeight="1">
      <c r="A52" s="6">
        <v>5.0</v>
      </c>
      <c r="B52" s="6" t="s">
        <v>773</v>
      </c>
      <c r="C52" s="6" t="s">
        <v>774</v>
      </c>
      <c r="D52" s="16"/>
      <c r="E52" s="16"/>
      <c r="F52" s="16"/>
      <c r="G52" s="16"/>
      <c r="H52" s="16"/>
      <c r="I52" s="18"/>
      <c r="J52" s="16"/>
      <c r="K52" s="4"/>
      <c r="L52" s="4"/>
      <c r="M52" s="4"/>
      <c r="N52" s="4"/>
      <c r="O52" s="4"/>
      <c r="P52" s="4"/>
      <c r="Q52" s="4"/>
    </row>
    <row r="53" ht="13.5" customHeight="1">
      <c r="A53" s="6">
        <v>6.0</v>
      </c>
      <c r="B53" s="6" t="s">
        <v>775</v>
      </c>
      <c r="C53" s="6" t="s">
        <v>776</v>
      </c>
      <c r="D53" s="16"/>
      <c r="E53" s="16"/>
      <c r="F53" s="16"/>
      <c r="G53" s="16"/>
      <c r="H53" s="16"/>
      <c r="I53" s="18"/>
      <c r="J53" s="16"/>
      <c r="K53" s="4"/>
      <c r="L53" s="4"/>
      <c r="M53" s="4"/>
      <c r="N53" s="4"/>
      <c r="O53" s="4"/>
      <c r="P53" s="4"/>
      <c r="Q53" s="4"/>
    </row>
    <row r="54" ht="13.5" customHeight="1">
      <c r="A54" s="6">
        <v>7.0</v>
      </c>
      <c r="B54" s="6" t="s">
        <v>777</v>
      </c>
      <c r="C54" s="6" t="s">
        <v>778</v>
      </c>
      <c r="D54" s="16"/>
      <c r="E54" s="16"/>
      <c r="F54" s="16"/>
      <c r="G54" s="16"/>
      <c r="H54" s="16"/>
      <c r="I54" s="18"/>
      <c r="J54" s="16"/>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sheetData>
  <mergeCells count="3">
    <mergeCell ref="A1:J1"/>
    <mergeCell ref="A3:J3"/>
    <mergeCell ref="A46:J46"/>
  </mergeCells>
  <dataValidations>
    <dataValidation type="list" allowBlank="1" sqref="E48:G54">
      <formula1>'09_DanhMuc'!$E$3:$E$4</formula1>
    </dataValidation>
    <dataValidation type="list" allowBlank="1" sqref="C6:C43">
      <formula1>'02_ChecklistYeuCau'!$A$6:$A$43</formula1>
    </dataValidation>
    <dataValidation type="list" allowBlank="1" sqref="D6:D43">
      <formula1>'01_ThongTinNhom'!$B$16:$B$19</formula1>
    </dataValidation>
    <dataValidation type="list" allowBlank="1" sqref="I6:I43">
      <formula1>'09_DanhMuc'!$I$3:$I$6</formula1>
    </dataValidation>
    <dataValidation type="list" allowBlank="1" sqref="B6:B43">
      <formula1>'09_DanhMuc'!$F$3:$F$12</formula1>
    </dataValidation>
  </dataValidations>
  <hyperlinks>
    <hyperlink r:id="rId1" ref="F6"/>
    <hyperlink r:id="rId2" ref="F7"/>
    <hyperlink r:id="rId3" ref="F8"/>
    <hyperlink r:id="rId4" ref="F9"/>
    <hyperlink r:id="rId5" ref="F10"/>
    <hyperlink r:id="rId6" ref="F11"/>
    <hyperlink r:id="rId7" ref="F12"/>
    <hyperlink r:id="rId8" ref="F13"/>
    <hyperlink r:id="rId9" ref="F14"/>
    <hyperlink r:id="rId10" ref="F15"/>
    <hyperlink r:id="rId11" ref="F16"/>
    <hyperlink r:id="rId12" ref="F17"/>
    <hyperlink r:id="rId13" ref="F18"/>
    <hyperlink r:id="rId14" ref="F19"/>
    <hyperlink r:id="rId15" ref="F20"/>
    <hyperlink r:id="rId16" ref="F21"/>
    <hyperlink r:id="rId17" ref="F25"/>
    <hyperlink r:id="rId18" ref="F37"/>
  </hyperlinks>
  <printOptions/>
  <pageMargins bottom="0.75" footer="0.0" header="0.0" left="0.7" right="0.7" top="0.75"/>
  <pageSetup orientation="landscape"/>
  <drawing r:id="rId1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5.0"/>
    <col customWidth="1" min="3" max="3" width="22.0"/>
    <col customWidth="1" min="4" max="4" width="62.0"/>
    <col customWidth="1" min="5" max="5" width="64.0"/>
    <col customWidth="1" min="6" max="6" width="25.0"/>
    <col customWidth="1" min="7" max="7" width="223.88"/>
    <col customWidth="1" min="8" max="8" width="12.0"/>
    <col customWidth="1" min="9" max="26" width="8.63"/>
  </cols>
  <sheetData>
    <row r="1" ht="15.0" customHeight="1">
      <c r="A1" s="1" t="s">
        <v>779</v>
      </c>
      <c r="B1" s="2"/>
      <c r="C1" s="2"/>
      <c r="D1" s="2"/>
      <c r="E1" s="2"/>
      <c r="F1" s="2"/>
      <c r="G1" s="2"/>
      <c r="H1" s="3"/>
      <c r="I1" s="4"/>
      <c r="J1" s="4"/>
      <c r="K1" s="4"/>
      <c r="L1" s="4"/>
      <c r="M1" s="4"/>
      <c r="N1" s="4"/>
      <c r="O1" s="4"/>
      <c r="P1" s="4"/>
      <c r="Q1" s="4"/>
    </row>
    <row r="2" ht="13.5" customHeight="1">
      <c r="A2" s="4"/>
      <c r="B2" s="4"/>
      <c r="C2" s="4"/>
      <c r="D2" s="4"/>
      <c r="E2" s="4"/>
      <c r="F2" s="4"/>
      <c r="G2" s="4"/>
      <c r="H2" s="4"/>
      <c r="I2" s="4"/>
      <c r="J2" s="4"/>
      <c r="K2" s="4"/>
      <c r="L2" s="4"/>
      <c r="M2" s="4"/>
      <c r="N2" s="4"/>
      <c r="O2" s="4"/>
      <c r="P2" s="4"/>
      <c r="Q2" s="4"/>
    </row>
    <row r="3" ht="16.5" customHeight="1">
      <c r="A3" s="7" t="s">
        <v>780</v>
      </c>
      <c r="B3" s="2"/>
      <c r="C3" s="2"/>
      <c r="D3" s="2"/>
      <c r="E3" s="2"/>
      <c r="F3" s="2"/>
      <c r="G3" s="2"/>
      <c r="H3" s="3"/>
      <c r="I3" s="4"/>
      <c r="J3" s="4"/>
      <c r="K3" s="4"/>
      <c r="L3" s="4"/>
      <c r="M3" s="4"/>
      <c r="N3" s="4"/>
      <c r="O3" s="4"/>
      <c r="P3" s="4"/>
      <c r="Q3" s="4"/>
    </row>
    <row r="4" ht="13.5" customHeight="1">
      <c r="A4" s="4"/>
      <c r="B4" s="4"/>
      <c r="C4" s="4"/>
      <c r="D4" s="4"/>
      <c r="E4" s="4"/>
      <c r="F4" s="4"/>
      <c r="G4" s="4"/>
      <c r="H4" s="4"/>
      <c r="I4" s="4"/>
      <c r="J4" s="4"/>
      <c r="K4" s="4"/>
      <c r="L4" s="4"/>
      <c r="M4" s="4"/>
      <c r="N4" s="4"/>
      <c r="O4" s="4"/>
      <c r="P4" s="4"/>
      <c r="Q4" s="4"/>
    </row>
    <row r="5" ht="13.5" customHeight="1">
      <c r="A5" s="5" t="s">
        <v>108</v>
      </c>
      <c r="B5" s="5" t="s">
        <v>351</v>
      </c>
      <c r="C5" s="5" t="s">
        <v>781</v>
      </c>
      <c r="D5" s="5" t="s">
        <v>782</v>
      </c>
      <c r="E5" s="5" t="s">
        <v>783</v>
      </c>
      <c r="F5" s="5" t="s">
        <v>784</v>
      </c>
      <c r="G5" s="5" t="s">
        <v>785</v>
      </c>
      <c r="H5" s="5" t="s">
        <v>786</v>
      </c>
      <c r="I5" s="4"/>
      <c r="J5" s="4"/>
      <c r="K5" s="4"/>
      <c r="L5" s="4"/>
      <c r="M5" s="4"/>
      <c r="N5" s="4"/>
      <c r="O5" s="4"/>
      <c r="P5" s="4"/>
      <c r="Q5" s="4"/>
    </row>
    <row r="6" ht="13.5" customHeight="1">
      <c r="A6" s="6">
        <v>1.0</v>
      </c>
      <c r="B6" s="6" t="s">
        <v>158</v>
      </c>
      <c r="C6" s="6" t="s">
        <v>787</v>
      </c>
      <c r="D6" s="6" t="s">
        <v>788</v>
      </c>
      <c r="E6" s="47" t="s">
        <v>161</v>
      </c>
      <c r="F6" s="32" t="s">
        <v>128</v>
      </c>
      <c r="G6" s="32" t="s">
        <v>789</v>
      </c>
      <c r="H6" s="17" t="s">
        <v>13</v>
      </c>
      <c r="I6" s="4"/>
      <c r="J6" s="4"/>
      <c r="K6" s="4"/>
      <c r="L6" s="4"/>
      <c r="M6" s="4"/>
      <c r="N6" s="4"/>
      <c r="O6" s="4"/>
      <c r="P6" s="4"/>
      <c r="Q6" s="4"/>
    </row>
    <row r="7" ht="13.5" customHeight="1">
      <c r="A7" s="6">
        <v>2.0</v>
      </c>
      <c r="B7" s="6" t="s">
        <v>168</v>
      </c>
      <c r="C7" s="6" t="s">
        <v>790</v>
      </c>
      <c r="D7" s="6" t="s">
        <v>791</v>
      </c>
      <c r="E7" s="47" t="s">
        <v>792</v>
      </c>
      <c r="F7" s="32" t="s">
        <v>128</v>
      </c>
      <c r="G7" s="32" t="s">
        <v>793</v>
      </c>
      <c r="H7" s="17" t="s">
        <v>13</v>
      </c>
      <c r="I7" s="4"/>
      <c r="J7" s="4"/>
      <c r="K7" s="4"/>
      <c r="L7" s="4"/>
      <c r="M7" s="4"/>
      <c r="N7" s="4"/>
      <c r="O7" s="4"/>
      <c r="P7" s="4"/>
      <c r="Q7" s="4"/>
    </row>
    <row r="8" ht="13.5" customHeight="1">
      <c r="A8" s="6">
        <v>3.0</v>
      </c>
      <c r="B8" s="6" t="s">
        <v>178</v>
      </c>
      <c r="C8" s="6" t="s">
        <v>794</v>
      </c>
      <c r="D8" s="6" t="s">
        <v>795</v>
      </c>
      <c r="E8" s="47" t="s">
        <v>796</v>
      </c>
      <c r="F8" s="32" t="s">
        <v>120</v>
      </c>
      <c r="G8" s="32" t="s">
        <v>797</v>
      </c>
      <c r="H8" s="17" t="s">
        <v>13</v>
      </c>
      <c r="I8" s="4"/>
      <c r="J8" s="4"/>
      <c r="K8" s="4"/>
      <c r="L8" s="4"/>
      <c r="M8" s="4"/>
      <c r="N8" s="4"/>
      <c r="O8" s="4"/>
      <c r="P8" s="4"/>
      <c r="Q8" s="4"/>
    </row>
    <row r="9" ht="13.5" customHeight="1">
      <c r="A9" s="6">
        <v>4.0</v>
      </c>
      <c r="B9" s="6" t="s">
        <v>798</v>
      </c>
      <c r="C9" s="6" t="s">
        <v>799</v>
      </c>
      <c r="D9" s="6" t="s">
        <v>800</v>
      </c>
      <c r="E9" s="47" t="s">
        <v>801</v>
      </c>
      <c r="F9" s="32" t="s">
        <v>120</v>
      </c>
      <c r="G9" s="32" t="s">
        <v>802</v>
      </c>
      <c r="H9" s="17" t="s">
        <v>13</v>
      </c>
      <c r="I9" s="4"/>
      <c r="J9" s="4"/>
      <c r="K9" s="4"/>
      <c r="L9" s="4"/>
      <c r="M9" s="4"/>
      <c r="N9" s="4"/>
      <c r="O9" s="4"/>
      <c r="P9" s="4"/>
      <c r="Q9" s="4"/>
    </row>
    <row r="10" ht="13.5" customHeight="1">
      <c r="A10" s="6">
        <v>5.0</v>
      </c>
      <c r="B10" s="6" t="s">
        <v>803</v>
      </c>
      <c r="C10" s="6" t="s">
        <v>804</v>
      </c>
      <c r="D10" s="6" t="s">
        <v>805</v>
      </c>
      <c r="E10" s="47" t="s">
        <v>806</v>
      </c>
      <c r="F10" s="32" t="s">
        <v>124</v>
      </c>
      <c r="G10" s="32" t="s">
        <v>807</v>
      </c>
      <c r="H10" s="17" t="s">
        <v>13</v>
      </c>
      <c r="I10" s="4"/>
      <c r="J10" s="4"/>
      <c r="K10" s="4"/>
      <c r="L10" s="4"/>
      <c r="M10" s="4"/>
      <c r="N10" s="4"/>
      <c r="O10" s="4"/>
      <c r="P10" s="4"/>
      <c r="Q10" s="4"/>
    </row>
    <row r="11" ht="13.5" customHeight="1">
      <c r="A11" s="6">
        <v>6.0</v>
      </c>
      <c r="B11" s="6" t="s">
        <v>808</v>
      </c>
      <c r="C11" s="6" t="s">
        <v>809</v>
      </c>
      <c r="D11" s="6" t="s">
        <v>810</v>
      </c>
      <c r="E11" s="47" t="s">
        <v>811</v>
      </c>
      <c r="F11" s="32" t="s">
        <v>128</v>
      </c>
      <c r="G11" s="32" t="s">
        <v>812</v>
      </c>
      <c r="H11" s="17" t="s">
        <v>13</v>
      </c>
      <c r="I11" s="4"/>
      <c r="J11" s="4"/>
      <c r="K11" s="4"/>
      <c r="L11" s="4"/>
      <c r="M11" s="4"/>
      <c r="N11" s="4"/>
      <c r="O11" s="4"/>
      <c r="P11" s="4"/>
      <c r="Q11" s="4"/>
    </row>
    <row r="12" ht="13.5" customHeight="1">
      <c r="A12" s="6">
        <v>7.0</v>
      </c>
      <c r="B12" s="6" t="s">
        <v>813</v>
      </c>
      <c r="C12" s="6" t="s">
        <v>814</v>
      </c>
      <c r="D12" s="6" t="s">
        <v>815</v>
      </c>
      <c r="E12" s="47" t="s">
        <v>816</v>
      </c>
      <c r="F12" s="32" t="s">
        <v>128</v>
      </c>
      <c r="G12" s="32" t="s">
        <v>817</v>
      </c>
      <c r="H12" s="17" t="s">
        <v>13</v>
      </c>
      <c r="I12" s="4"/>
      <c r="J12" s="4"/>
      <c r="K12" s="4"/>
      <c r="L12" s="4"/>
      <c r="M12" s="4"/>
      <c r="N12" s="4"/>
      <c r="O12" s="4"/>
      <c r="P12" s="4"/>
      <c r="Q12" s="4"/>
    </row>
    <row r="13" ht="13.5" customHeight="1">
      <c r="A13" s="6">
        <v>8.0</v>
      </c>
      <c r="B13" s="6" t="s">
        <v>818</v>
      </c>
      <c r="C13" s="6" t="s">
        <v>819</v>
      </c>
      <c r="D13" s="6" t="s">
        <v>820</v>
      </c>
      <c r="E13" s="47" t="s">
        <v>821</v>
      </c>
      <c r="F13" s="32" t="s">
        <v>124</v>
      </c>
      <c r="G13" s="32" t="s">
        <v>822</v>
      </c>
      <c r="H13" s="17" t="s">
        <v>13</v>
      </c>
      <c r="I13" s="4"/>
      <c r="J13" s="4"/>
      <c r="K13" s="4"/>
      <c r="L13" s="4"/>
      <c r="M13" s="4"/>
      <c r="N13" s="4"/>
      <c r="O13" s="4"/>
      <c r="P13" s="4"/>
      <c r="Q13" s="4"/>
    </row>
    <row r="14" ht="13.5" customHeight="1">
      <c r="A14" s="6">
        <v>9.0</v>
      </c>
      <c r="B14" s="6" t="s">
        <v>243</v>
      </c>
      <c r="C14" s="6" t="s">
        <v>823</v>
      </c>
      <c r="D14" s="6" t="s">
        <v>824</v>
      </c>
      <c r="E14" s="47" t="s">
        <v>825</v>
      </c>
      <c r="F14" s="32" t="s">
        <v>120</v>
      </c>
      <c r="G14" s="32" t="s">
        <v>826</v>
      </c>
      <c r="H14" s="17" t="s">
        <v>13</v>
      </c>
      <c r="I14" s="4"/>
      <c r="J14" s="4"/>
      <c r="K14" s="4"/>
      <c r="L14" s="4"/>
      <c r="M14" s="4"/>
      <c r="N14" s="4"/>
      <c r="O14" s="4"/>
      <c r="P14" s="4"/>
      <c r="Q14" s="4"/>
    </row>
    <row r="15" ht="13.5" customHeight="1">
      <c r="A15" s="6">
        <v>10.0</v>
      </c>
      <c r="B15" s="6" t="s">
        <v>283</v>
      </c>
      <c r="C15" s="6" t="s">
        <v>827</v>
      </c>
      <c r="D15" s="6" t="s">
        <v>828</v>
      </c>
      <c r="E15" s="47" t="s">
        <v>829</v>
      </c>
      <c r="F15" s="32" t="s">
        <v>116</v>
      </c>
      <c r="G15" s="32" t="s">
        <v>830</v>
      </c>
      <c r="H15" s="17" t="s">
        <v>13</v>
      </c>
      <c r="I15" s="4"/>
      <c r="J15" s="4"/>
      <c r="K15" s="4"/>
      <c r="L15" s="4"/>
      <c r="M15" s="4"/>
      <c r="N15" s="4"/>
      <c r="O15" s="4"/>
      <c r="P15" s="4"/>
      <c r="Q15" s="4"/>
    </row>
    <row r="16" ht="13.5" customHeight="1">
      <c r="A16" s="6">
        <v>11.0</v>
      </c>
      <c r="B16" s="6" t="s">
        <v>268</v>
      </c>
      <c r="C16" s="6" t="s">
        <v>831</v>
      </c>
      <c r="D16" s="6" t="s">
        <v>832</v>
      </c>
      <c r="E16" s="47" t="s">
        <v>833</v>
      </c>
      <c r="F16" s="32" t="s">
        <v>116</v>
      </c>
      <c r="G16" s="32" t="s">
        <v>834</v>
      </c>
      <c r="H16" s="17" t="s">
        <v>13</v>
      </c>
      <c r="I16" s="4"/>
      <c r="J16" s="4"/>
      <c r="K16" s="4"/>
      <c r="L16" s="4"/>
      <c r="M16" s="4"/>
      <c r="N16" s="4"/>
      <c r="O16" s="4"/>
      <c r="P16" s="4"/>
      <c r="Q16" s="4"/>
    </row>
    <row r="17" ht="13.5" customHeight="1">
      <c r="A17" s="6">
        <v>12.0</v>
      </c>
      <c r="B17" s="6" t="s">
        <v>273</v>
      </c>
      <c r="C17" s="6" t="s">
        <v>835</v>
      </c>
      <c r="D17" s="6" t="s">
        <v>836</v>
      </c>
      <c r="E17" s="47" t="s">
        <v>837</v>
      </c>
      <c r="F17" s="32" t="s">
        <v>120</v>
      </c>
      <c r="G17" s="32" t="s">
        <v>838</v>
      </c>
      <c r="H17" s="17" t="s">
        <v>13</v>
      </c>
      <c r="I17" s="4"/>
      <c r="J17" s="4"/>
      <c r="K17" s="4"/>
      <c r="L17" s="4"/>
      <c r="M17" s="4"/>
      <c r="N17" s="4"/>
      <c r="O17" s="4"/>
      <c r="P17" s="4"/>
      <c r="Q17" s="4"/>
    </row>
    <row r="18" ht="13.5" customHeight="1">
      <c r="A18" s="6">
        <v>13.0</v>
      </c>
      <c r="B18" s="6" t="s">
        <v>278</v>
      </c>
      <c r="C18" s="6" t="s">
        <v>839</v>
      </c>
      <c r="D18" s="6" t="s">
        <v>840</v>
      </c>
      <c r="E18" s="47" t="s">
        <v>841</v>
      </c>
      <c r="F18" s="32" t="s">
        <v>124</v>
      </c>
      <c r="G18" s="32" t="s">
        <v>842</v>
      </c>
      <c r="H18" s="17" t="s">
        <v>13</v>
      </c>
      <c r="I18" s="4"/>
      <c r="J18" s="4"/>
      <c r="K18" s="4"/>
      <c r="L18" s="4"/>
      <c r="M18" s="4"/>
      <c r="N18" s="4"/>
      <c r="O18" s="4"/>
      <c r="P18" s="4"/>
      <c r="Q18" s="4"/>
    </row>
    <row r="19" ht="13.5" customHeight="1">
      <c r="A19" s="6">
        <v>14.0</v>
      </c>
      <c r="B19" s="6" t="s">
        <v>248</v>
      </c>
      <c r="C19" s="6" t="s">
        <v>843</v>
      </c>
      <c r="D19" s="6" t="s">
        <v>844</v>
      </c>
      <c r="E19" s="47" t="s">
        <v>845</v>
      </c>
      <c r="F19" s="32" t="s">
        <v>124</v>
      </c>
      <c r="G19" s="32" t="s">
        <v>846</v>
      </c>
      <c r="H19" s="17" t="s">
        <v>13</v>
      </c>
      <c r="I19" s="4"/>
      <c r="J19" s="4"/>
      <c r="K19" s="4"/>
      <c r="L19" s="4"/>
      <c r="M19" s="4"/>
      <c r="N19" s="4"/>
      <c r="O19" s="4"/>
      <c r="P19" s="4"/>
      <c r="Q19" s="4"/>
    </row>
    <row r="20" ht="13.5" customHeight="1">
      <c r="A20" s="6">
        <v>15.0</v>
      </c>
      <c r="B20" s="6" t="s">
        <v>847</v>
      </c>
      <c r="C20" s="6" t="s">
        <v>848</v>
      </c>
      <c r="D20" s="6" t="s">
        <v>849</v>
      </c>
      <c r="E20" s="47" t="s">
        <v>850</v>
      </c>
      <c r="F20" s="32" t="s">
        <v>116</v>
      </c>
      <c r="G20" s="32" t="s">
        <v>851</v>
      </c>
      <c r="H20" s="17" t="s">
        <v>13</v>
      </c>
      <c r="I20" s="4"/>
      <c r="J20" s="4"/>
      <c r="K20" s="4"/>
      <c r="L20" s="4"/>
      <c r="M20" s="4"/>
      <c r="N20" s="4"/>
      <c r="O20" s="4"/>
      <c r="P20" s="4"/>
      <c r="Q20" s="4"/>
    </row>
    <row r="21" ht="13.5" customHeight="1">
      <c r="A21" s="6">
        <v>16.0</v>
      </c>
      <c r="B21" s="6" t="s">
        <v>852</v>
      </c>
      <c r="C21" s="6" t="s">
        <v>36</v>
      </c>
      <c r="D21" s="6" t="s">
        <v>853</v>
      </c>
      <c r="E21" s="47" t="s">
        <v>854</v>
      </c>
      <c r="F21" s="32" t="s">
        <v>116</v>
      </c>
      <c r="G21" s="32" t="s">
        <v>855</v>
      </c>
      <c r="H21" s="17" t="s">
        <v>13</v>
      </c>
      <c r="I21" s="4"/>
      <c r="J21" s="4"/>
      <c r="K21" s="4"/>
      <c r="L21" s="4"/>
      <c r="M21" s="4"/>
      <c r="N21" s="4"/>
      <c r="O21" s="4"/>
      <c r="P21" s="4"/>
      <c r="Q21" s="4"/>
    </row>
    <row r="22" ht="13.5" customHeight="1">
      <c r="A22" s="4"/>
      <c r="B22" s="4"/>
      <c r="C22" s="4"/>
      <c r="D22" s="4"/>
      <c r="E22" s="4"/>
      <c r="F22" s="4"/>
      <c r="G22" s="4"/>
      <c r="H22" s="4"/>
      <c r="I22" s="4"/>
      <c r="J22" s="4"/>
      <c r="K22" s="4"/>
      <c r="L22" s="4"/>
      <c r="M22" s="4"/>
      <c r="N22" s="4"/>
      <c r="O22" s="4"/>
      <c r="P22" s="4"/>
      <c r="Q22" s="4"/>
    </row>
    <row r="23" ht="13.5" customHeight="1">
      <c r="A23" s="4"/>
      <c r="B23" s="4"/>
      <c r="C23" s="4"/>
      <c r="D23" s="4"/>
      <c r="E23" s="4"/>
      <c r="F23" s="4"/>
      <c r="G23" s="4"/>
      <c r="H23" s="4"/>
      <c r="I23" s="4"/>
      <c r="J23" s="4"/>
      <c r="K23" s="4"/>
      <c r="L23" s="4"/>
      <c r="M23" s="4"/>
      <c r="N23" s="4"/>
      <c r="O23" s="4"/>
      <c r="P23" s="4"/>
      <c r="Q23" s="4"/>
    </row>
    <row r="24" ht="13.5" customHeight="1">
      <c r="A24" s="4"/>
      <c r="B24" s="4"/>
      <c r="C24" s="4"/>
      <c r="D24" s="4"/>
      <c r="E24" s="4"/>
      <c r="F24" s="4"/>
      <c r="G24" s="4"/>
      <c r="H24" s="4"/>
      <c r="I24" s="4"/>
      <c r="J24" s="4"/>
      <c r="K24" s="4"/>
      <c r="L24" s="4"/>
      <c r="M24" s="4"/>
      <c r="N24" s="4"/>
      <c r="O24" s="4"/>
      <c r="P24" s="4"/>
      <c r="Q24" s="4"/>
    </row>
    <row r="25" ht="13.5" customHeight="1">
      <c r="A25" s="4"/>
      <c r="B25" s="4"/>
      <c r="C25" s="4"/>
      <c r="D25" s="4"/>
      <c r="E25" s="4"/>
      <c r="F25" s="4"/>
      <c r="G25" s="4"/>
      <c r="H25" s="4"/>
      <c r="I25" s="4"/>
      <c r="J25" s="4"/>
      <c r="K25" s="4"/>
      <c r="L25" s="4"/>
      <c r="M25" s="4"/>
      <c r="N25" s="4"/>
      <c r="O25" s="4"/>
      <c r="P25" s="4"/>
      <c r="Q25" s="4"/>
    </row>
    <row r="26" ht="13.5" customHeight="1">
      <c r="A26" s="4"/>
      <c r="B26" s="4"/>
      <c r="C26" s="4"/>
      <c r="D26" s="4"/>
      <c r="E26" s="4"/>
      <c r="F26" s="4"/>
      <c r="G26" s="4"/>
      <c r="H26" s="4"/>
      <c r="I26" s="4"/>
      <c r="J26" s="4"/>
      <c r="K26" s="4"/>
      <c r="L26" s="4"/>
      <c r="M26" s="4"/>
      <c r="N26" s="4"/>
      <c r="O26" s="4"/>
      <c r="P26" s="4"/>
      <c r="Q26" s="4"/>
    </row>
    <row r="27" ht="13.5" customHeight="1">
      <c r="A27" s="4"/>
      <c r="B27" s="4"/>
      <c r="C27" s="4"/>
      <c r="D27" s="4"/>
      <c r="E27" s="4"/>
      <c r="F27" s="4"/>
      <c r="G27" s="4"/>
      <c r="H27" s="4"/>
      <c r="I27" s="4"/>
      <c r="J27" s="4"/>
      <c r="K27" s="4"/>
      <c r="L27" s="4"/>
      <c r="M27" s="4"/>
      <c r="N27" s="4"/>
      <c r="O27" s="4"/>
      <c r="P27" s="4"/>
      <c r="Q27" s="4"/>
    </row>
    <row r="28" ht="13.5" customHeight="1">
      <c r="A28" s="4"/>
      <c r="B28" s="4"/>
      <c r="C28" s="4"/>
      <c r="D28" s="4"/>
      <c r="E28" s="4"/>
      <c r="F28" s="4"/>
      <c r="G28" s="4"/>
      <c r="H28" s="4"/>
      <c r="I28" s="4"/>
      <c r="J28" s="4"/>
      <c r="K28" s="4"/>
      <c r="L28" s="4"/>
      <c r="M28" s="4"/>
      <c r="N28" s="4"/>
      <c r="O28" s="4"/>
      <c r="P28" s="4"/>
      <c r="Q28" s="4"/>
    </row>
    <row r="29" ht="13.5" customHeight="1">
      <c r="A29" s="4"/>
      <c r="B29" s="4"/>
      <c r="C29" s="4"/>
      <c r="D29" s="4"/>
      <c r="E29" s="4"/>
      <c r="F29" s="4"/>
      <c r="G29" s="4"/>
      <c r="H29" s="4"/>
      <c r="I29" s="4"/>
      <c r="J29" s="4"/>
      <c r="K29" s="4"/>
      <c r="L29" s="4"/>
      <c r="M29" s="4"/>
      <c r="N29" s="4"/>
      <c r="O29" s="4"/>
      <c r="P29" s="4"/>
      <c r="Q29" s="4"/>
    </row>
    <row r="30" ht="13.5" customHeight="1">
      <c r="A30" s="4"/>
      <c r="B30" s="4"/>
      <c r="C30" s="4"/>
      <c r="D30" s="4"/>
      <c r="E30" s="4"/>
      <c r="F30" s="4"/>
      <c r="G30" s="4"/>
      <c r="H30" s="4"/>
      <c r="I30" s="4"/>
      <c r="J30" s="4"/>
      <c r="K30" s="4"/>
      <c r="L30" s="4"/>
      <c r="M30" s="4"/>
      <c r="N30" s="4"/>
      <c r="O30" s="4"/>
      <c r="P30" s="4"/>
      <c r="Q30" s="4"/>
    </row>
    <row r="31" ht="13.5" customHeight="1">
      <c r="A31" s="4"/>
      <c r="B31" s="4"/>
      <c r="C31" s="4"/>
      <c r="D31" s="4"/>
      <c r="E31" s="4"/>
      <c r="F31" s="4"/>
      <c r="G31" s="4"/>
      <c r="H31" s="4"/>
      <c r="I31" s="4"/>
      <c r="J31" s="4"/>
      <c r="K31" s="4"/>
      <c r="L31" s="4"/>
      <c r="M31" s="4"/>
      <c r="N31" s="4"/>
      <c r="O31" s="4"/>
      <c r="P31" s="4"/>
      <c r="Q31" s="4"/>
    </row>
    <row r="32" ht="13.5" customHeight="1">
      <c r="A32" s="4"/>
      <c r="B32" s="4"/>
      <c r="C32" s="4"/>
      <c r="D32" s="4"/>
      <c r="E32" s="4"/>
      <c r="F32" s="4"/>
      <c r="G32" s="4"/>
      <c r="H32" s="4"/>
      <c r="I32" s="4"/>
      <c r="J32" s="4"/>
      <c r="K32" s="4"/>
      <c r="L32" s="4"/>
      <c r="M32" s="4"/>
      <c r="N32" s="4"/>
      <c r="O32" s="4"/>
      <c r="P32" s="4"/>
      <c r="Q32" s="4"/>
    </row>
    <row r="33" ht="13.5" customHeight="1">
      <c r="A33" s="4"/>
      <c r="B33" s="4"/>
      <c r="C33" s="4"/>
      <c r="D33" s="4"/>
      <c r="E33" s="4"/>
      <c r="F33" s="4"/>
      <c r="G33" s="4"/>
      <c r="H33" s="4"/>
      <c r="I33" s="4"/>
      <c r="J33" s="4"/>
      <c r="K33" s="4"/>
      <c r="L33" s="4"/>
      <c r="M33" s="4"/>
      <c r="N33" s="4"/>
      <c r="O33" s="4"/>
      <c r="P33" s="4"/>
      <c r="Q33" s="4"/>
    </row>
    <row r="34" ht="13.5" customHeight="1">
      <c r="A34" s="4"/>
      <c r="B34" s="4"/>
      <c r="C34" s="4"/>
      <c r="D34" s="4"/>
      <c r="E34" s="4"/>
      <c r="F34" s="4"/>
      <c r="G34" s="4"/>
      <c r="H34" s="4"/>
      <c r="I34" s="4"/>
      <c r="J34" s="4"/>
      <c r="K34" s="4"/>
      <c r="L34" s="4"/>
      <c r="M34" s="4"/>
      <c r="N34" s="4"/>
      <c r="O34" s="4"/>
      <c r="P34" s="4"/>
      <c r="Q34" s="4"/>
    </row>
    <row r="35" ht="13.5" customHeight="1">
      <c r="A35" s="4"/>
      <c r="B35" s="4"/>
      <c r="C35" s="4"/>
      <c r="D35" s="4"/>
      <c r="E35" s="4"/>
      <c r="F35" s="4"/>
      <c r="G35" s="4"/>
      <c r="H35" s="4"/>
      <c r="I35" s="4"/>
      <c r="J35" s="4"/>
      <c r="K35" s="4"/>
      <c r="L35" s="4"/>
      <c r="M35" s="4"/>
      <c r="N35" s="4"/>
      <c r="O35" s="4"/>
      <c r="P35" s="4"/>
      <c r="Q35" s="4"/>
    </row>
    <row r="36" ht="13.5" customHeight="1">
      <c r="A36" s="4"/>
      <c r="B36" s="4"/>
      <c r="C36" s="4"/>
      <c r="D36" s="4"/>
      <c r="E36" s="4"/>
      <c r="F36" s="4"/>
      <c r="G36" s="4"/>
      <c r="H36" s="4"/>
      <c r="I36" s="4"/>
      <c r="J36" s="4"/>
      <c r="K36" s="4"/>
      <c r="L36" s="4"/>
      <c r="M36" s="4"/>
      <c r="N36" s="4"/>
      <c r="O36" s="4"/>
      <c r="P36" s="4"/>
      <c r="Q36" s="4"/>
    </row>
    <row r="37" ht="13.5" customHeight="1">
      <c r="A37" s="4"/>
      <c r="B37" s="4"/>
      <c r="C37" s="4"/>
      <c r="D37" s="4"/>
      <c r="E37" s="4"/>
      <c r="F37" s="4"/>
      <c r="G37" s="4"/>
      <c r="H37" s="4"/>
      <c r="I37" s="4"/>
      <c r="J37" s="4"/>
      <c r="K37" s="4"/>
      <c r="L37" s="4"/>
      <c r="M37" s="4"/>
      <c r="N37" s="4"/>
      <c r="O37" s="4"/>
      <c r="P37" s="4"/>
      <c r="Q37" s="4"/>
    </row>
    <row r="38" ht="13.5" customHeight="1">
      <c r="A38" s="4"/>
      <c r="B38" s="4"/>
      <c r="C38" s="4"/>
      <c r="D38" s="4"/>
      <c r="E38" s="4"/>
      <c r="F38" s="4"/>
      <c r="G38" s="4"/>
      <c r="H38" s="4"/>
      <c r="I38" s="4"/>
      <c r="J38" s="4"/>
      <c r="K38" s="4"/>
      <c r="L38" s="4"/>
      <c r="M38" s="4"/>
      <c r="N38" s="4"/>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c r="A189" s="4"/>
      <c r="B189" s="4"/>
      <c r="C189" s="4"/>
      <c r="D189" s="4"/>
      <c r="E189" s="4"/>
      <c r="F189" s="4"/>
      <c r="G189" s="4"/>
      <c r="H189" s="4"/>
      <c r="I189" s="4"/>
      <c r="J189" s="4"/>
      <c r="K189" s="4"/>
      <c r="L189" s="4"/>
      <c r="M189" s="4"/>
      <c r="N189" s="4"/>
      <c r="O189" s="4"/>
      <c r="P189" s="4"/>
      <c r="Q189" s="4"/>
    </row>
    <row r="190" ht="13.5" customHeight="1">
      <c r="A190" s="4"/>
      <c r="B190" s="4"/>
      <c r="C190" s="4"/>
      <c r="D190" s="4"/>
      <c r="E190" s="4"/>
      <c r="F190" s="4"/>
      <c r="G190" s="4"/>
      <c r="H190" s="4"/>
      <c r="I190" s="4"/>
      <c r="J190" s="4"/>
      <c r="K190" s="4"/>
      <c r="L190" s="4"/>
      <c r="M190" s="4"/>
      <c r="N190" s="4"/>
      <c r="O190" s="4"/>
      <c r="P190" s="4"/>
      <c r="Q190" s="4"/>
    </row>
    <row r="191" ht="13.5" customHeight="1">
      <c r="A191" s="4"/>
      <c r="B191" s="4"/>
      <c r="C191" s="4"/>
      <c r="D191" s="4"/>
      <c r="E191" s="4"/>
      <c r="F191" s="4"/>
      <c r="G191" s="4"/>
      <c r="H191" s="4"/>
      <c r="I191" s="4"/>
      <c r="J191" s="4"/>
      <c r="K191" s="4"/>
      <c r="L191" s="4"/>
      <c r="M191" s="4"/>
      <c r="N191" s="4"/>
      <c r="O191" s="4"/>
      <c r="P191" s="4"/>
      <c r="Q191" s="4"/>
    </row>
    <row r="192" ht="13.5" customHeight="1">
      <c r="A192" s="4"/>
      <c r="B192" s="4"/>
      <c r="C192" s="4"/>
      <c r="D192" s="4"/>
      <c r="E192" s="4"/>
      <c r="F192" s="4"/>
      <c r="G192" s="4"/>
      <c r="H192" s="4"/>
      <c r="I192" s="4"/>
      <c r="J192" s="4"/>
      <c r="K192" s="4"/>
      <c r="L192" s="4"/>
      <c r="M192" s="4"/>
      <c r="N192" s="4"/>
      <c r="O192" s="4"/>
      <c r="P192" s="4"/>
      <c r="Q192" s="4"/>
    </row>
    <row r="193" ht="13.5" customHeight="1">
      <c r="A193" s="4"/>
      <c r="B193" s="4"/>
      <c r="C193" s="4"/>
      <c r="D193" s="4"/>
      <c r="E193" s="4"/>
      <c r="F193" s="4"/>
      <c r="G193" s="4"/>
      <c r="H193" s="4"/>
      <c r="I193" s="4"/>
      <c r="J193" s="4"/>
      <c r="K193" s="4"/>
      <c r="L193" s="4"/>
      <c r="M193" s="4"/>
      <c r="N193" s="4"/>
      <c r="O193" s="4"/>
      <c r="P193" s="4"/>
      <c r="Q193" s="4"/>
    </row>
    <row r="194" ht="13.5" customHeight="1">
      <c r="A194" s="4"/>
      <c r="B194" s="4"/>
      <c r="C194" s="4"/>
      <c r="D194" s="4"/>
      <c r="E194" s="4"/>
      <c r="F194" s="4"/>
      <c r="G194" s="4"/>
      <c r="H194" s="4"/>
      <c r="I194" s="4"/>
      <c r="J194" s="4"/>
      <c r="K194" s="4"/>
      <c r="L194" s="4"/>
      <c r="M194" s="4"/>
      <c r="N194" s="4"/>
      <c r="O194" s="4"/>
      <c r="P194" s="4"/>
      <c r="Q194" s="4"/>
    </row>
    <row r="195" ht="13.5" customHeight="1">
      <c r="A195" s="4"/>
      <c r="B195" s="4"/>
      <c r="C195" s="4"/>
      <c r="D195" s="4"/>
      <c r="E195" s="4"/>
      <c r="F195" s="4"/>
      <c r="G195" s="4"/>
      <c r="H195" s="4"/>
      <c r="I195" s="4"/>
      <c r="J195" s="4"/>
      <c r="K195" s="4"/>
      <c r="L195" s="4"/>
      <c r="M195" s="4"/>
      <c r="N195" s="4"/>
      <c r="O195" s="4"/>
      <c r="P195" s="4"/>
      <c r="Q195" s="4"/>
    </row>
    <row r="196" ht="13.5" customHeight="1">
      <c r="A196" s="4"/>
      <c r="B196" s="4"/>
      <c r="C196" s="4"/>
      <c r="D196" s="4"/>
      <c r="E196" s="4"/>
      <c r="F196" s="4"/>
      <c r="G196" s="4"/>
      <c r="H196" s="4"/>
      <c r="I196" s="4"/>
      <c r="J196" s="4"/>
      <c r="K196" s="4"/>
      <c r="L196" s="4"/>
      <c r="M196" s="4"/>
      <c r="N196" s="4"/>
      <c r="O196" s="4"/>
      <c r="P196" s="4"/>
      <c r="Q196" s="4"/>
    </row>
    <row r="197" ht="13.5" customHeight="1">
      <c r="A197" s="4"/>
      <c r="B197" s="4"/>
      <c r="C197" s="4"/>
      <c r="D197" s="4"/>
      <c r="E197" s="4"/>
      <c r="F197" s="4"/>
      <c r="G197" s="4"/>
      <c r="H197" s="4"/>
      <c r="I197" s="4"/>
      <c r="J197" s="4"/>
      <c r="K197" s="4"/>
      <c r="L197" s="4"/>
      <c r="M197" s="4"/>
      <c r="N197" s="4"/>
      <c r="O197" s="4"/>
      <c r="P197" s="4"/>
      <c r="Q197" s="4"/>
    </row>
    <row r="198" ht="13.5" customHeight="1">
      <c r="A198" s="4"/>
      <c r="B198" s="4"/>
      <c r="C198" s="4"/>
      <c r="D198" s="4"/>
      <c r="E198" s="4"/>
      <c r="F198" s="4"/>
      <c r="G198" s="4"/>
      <c r="H198" s="4"/>
      <c r="I198" s="4"/>
      <c r="J198" s="4"/>
      <c r="K198" s="4"/>
      <c r="L198" s="4"/>
      <c r="M198" s="4"/>
      <c r="N198" s="4"/>
      <c r="O198" s="4"/>
      <c r="P198" s="4"/>
      <c r="Q198" s="4"/>
    </row>
    <row r="199" ht="13.5" customHeight="1">
      <c r="A199" s="4"/>
      <c r="B199" s="4"/>
      <c r="C199" s="4"/>
      <c r="D199" s="4"/>
      <c r="E199" s="4"/>
      <c r="F199" s="4"/>
      <c r="G199" s="4"/>
      <c r="H199" s="4"/>
      <c r="I199" s="4"/>
      <c r="J199" s="4"/>
      <c r="K199" s="4"/>
      <c r="L199" s="4"/>
      <c r="M199" s="4"/>
      <c r="N199" s="4"/>
      <c r="O199" s="4"/>
      <c r="P199" s="4"/>
      <c r="Q199" s="4"/>
    </row>
    <row r="200" ht="13.5" customHeight="1">
      <c r="A200" s="4"/>
      <c r="B200" s="4"/>
      <c r="C200" s="4"/>
      <c r="D200" s="4"/>
      <c r="E200" s="4"/>
      <c r="F200" s="4"/>
      <c r="G200" s="4"/>
      <c r="H200" s="4"/>
      <c r="I200" s="4"/>
      <c r="J200" s="4"/>
      <c r="K200" s="4"/>
      <c r="L200" s="4"/>
      <c r="M200" s="4"/>
      <c r="N200" s="4"/>
      <c r="O200" s="4"/>
      <c r="P200" s="4"/>
      <c r="Q200" s="4"/>
    </row>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H1"/>
    <mergeCell ref="A3:H3"/>
  </mergeCells>
  <dataValidations>
    <dataValidation type="list" allowBlank="1" sqref="H6:H21">
      <formula1>'09_DanhMuc'!$E$3:$E$4</formula1>
    </dataValidation>
    <dataValidation type="list" allowBlank="1" sqref="F6:F21">
      <formula1>'01_ThongTinNhom'!$B$16:$B$19</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0"/>
    <col customWidth="1" min="3" max="7" width="18.0"/>
    <col customWidth="1" min="8" max="8" width="13.0"/>
    <col customWidth="1" min="9" max="9" width="14.0"/>
    <col customWidth="1" min="10" max="10" width="15.0"/>
    <col customWidth="1" min="11" max="11" width="18.0"/>
    <col customWidth="1" min="12" max="12" width="17.0"/>
    <col customWidth="1" min="13" max="13" width="52.0"/>
    <col customWidth="1" min="14" max="26" width="8.63"/>
  </cols>
  <sheetData>
    <row r="1" ht="15.0" customHeight="1">
      <c r="A1" s="1" t="s">
        <v>856</v>
      </c>
      <c r="B1" s="2"/>
      <c r="C1" s="2"/>
      <c r="D1" s="2"/>
      <c r="E1" s="2"/>
      <c r="F1" s="2"/>
      <c r="G1" s="2"/>
      <c r="H1" s="2"/>
      <c r="I1" s="2"/>
      <c r="J1" s="2"/>
      <c r="K1" s="2"/>
      <c r="L1" s="2"/>
      <c r="M1" s="3"/>
      <c r="N1" s="4"/>
      <c r="O1" s="4"/>
      <c r="P1" s="4"/>
      <c r="Q1" s="4"/>
    </row>
    <row r="2" ht="13.5" customHeight="1">
      <c r="A2" s="4"/>
      <c r="B2" s="4"/>
      <c r="C2" s="4"/>
      <c r="D2" s="4"/>
      <c r="E2" s="4"/>
      <c r="F2" s="4"/>
      <c r="G2" s="4"/>
      <c r="H2" s="4"/>
      <c r="I2" s="4"/>
      <c r="J2" s="4"/>
      <c r="K2" s="4"/>
      <c r="L2" s="4"/>
      <c r="M2" s="4"/>
      <c r="N2" s="4"/>
      <c r="O2" s="4"/>
      <c r="P2" s="4"/>
      <c r="Q2" s="4"/>
    </row>
    <row r="3" ht="18.75" customHeight="1">
      <c r="A3" s="48" t="s">
        <v>857</v>
      </c>
      <c r="B3" s="2"/>
      <c r="C3" s="2"/>
      <c r="D3" s="2"/>
      <c r="E3" s="2"/>
      <c r="F3" s="2"/>
      <c r="G3" s="2"/>
      <c r="H3" s="2"/>
      <c r="I3" s="2"/>
      <c r="J3" s="2"/>
      <c r="K3" s="2"/>
      <c r="L3" s="2"/>
      <c r="M3" s="3"/>
      <c r="N3" s="4"/>
      <c r="O3" s="4"/>
      <c r="P3" s="4"/>
      <c r="Q3" s="4"/>
    </row>
    <row r="4" ht="13.5" customHeight="1">
      <c r="A4" s="4"/>
      <c r="B4" s="4"/>
      <c r="C4" s="4"/>
      <c r="D4" s="4"/>
      <c r="E4" s="4"/>
      <c r="F4" s="4"/>
      <c r="G4" s="4"/>
      <c r="H4" s="4"/>
      <c r="I4" s="4"/>
      <c r="J4" s="4"/>
      <c r="K4" s="4"/>
      <c r="L4" s="4"/>
      <c r="M4" s="4"/>
      <c r="N4" s="4"/>
      <c r="O4" s="4"/>
      <c r="P4" s="4"/>
      <c r="Q4" s="4"/>
    </row>
    <row r="5" ht="13.5" customHeight="1">
      <c r="A5" s="5" t="s">
        <v>108</v>
      </c>
      <c r="B5" s="5" t="s">
        <v>556</v>
      </c>
      <c r="C5" s="5" t="s">
        <v>858</v>
      </c>
      <c r="D5" s="5" t="s">
        <v>859</v>
      </c>
      <c r="E5" s="5" t="s">
        <v>860</v>
      </c>
      <c r="F5" s="5" t="s">
        <v>361</v>
      </c>
      <c r="G5" s="5" t="s">
        <v>861</v>
      </c>
      <c r="H5" s="5" t="s">
        <v>862</v>
      </c>
      <c r="I5" s="5" t="s">
        <v>863</v>
      </c>
      <c r="J5" s="5" t="s">
        <v>864</v>
      </c>
      <c r="K5" s="5" t="s">
        <v>865</v>
      </c>
      <c r="L5" s="5" t="s">
        <v>866</v>
      </c>
      <c r="M5" s="5" t="s">
        <v>867</v>
      </c>
      <c r="N5" s="4"/>
      <c r="O5" s="4"/>
      <c r="P5" s="4"/>
      <c r="Q5" s="4"/>
    </row>
    <row r="6" ht="13.5" customHeight="1">
      <c r="A6" s="6">
        <v>1.0</v>
      </c>
      <c r="B6" s="19" t="str">
        <f>IF('01_ThongTinNhom'!B16="","",'01_ThongTinNhom'!B16)</f>
        <v>Nguyễn Minh Tú</v>
      </c>
      <c r="C6" s="19">
        <f>IF('01_ThongTinNhom'!C16="","",'01_ThongTinNhom'!C16)</f>
        <v>23120101</v>
      </c>
      <c r="D6" s="19">
        <f>IF(B6="","",COUNTIF('03_PhanCongTask'!$F$6:$F$38,B6))</f>
        <v>8</v>
      </c>
      <c r="E6" s="19">
        <f>IF(B6="","",COUNTIFS('03_PhanCongTask'!$F$6:$F$38,B6,'03_PhanCongTask'!$I$6:$I$38,"Chính"))</f>
        <v>8</v>
      </c>
      <c r="F6" s="49">
        <f>IF(B6="","",SUMIF('03_PhanCongTask'!$F$6:$F$38,B6,'03_PhanCongTask'!$N$6:$N$38))</f>
        <v>41.52</v>
      </c>
      <c r="G6" s="50">
        <f t="shared" ref="G6:G9" si="1">IF(B6="","",IF(SUM($F$6:$F$9)=0,0,F6/SUM($F$6:$F$9)))</f>
        <v>0.2463656322</v>
      </c>
      <c r="H6" s="49">
        <f>IF(B6="","",IFERROR(AVERAGEIF('04_TuDanhGia'!$B$6:$B$9,B6,'04_TuDanhGia'!$L$6:$L$9),0))</f>
        <v>4.56</v>
      </c>
      <c r="I6" s="49">
        <f>IF(B6="","",IFERROR(AVERAGEIF('05_DanhGiaCheo'!$C$6:$C$17,B6,'05_DanhGiaCheo'!$J$6:$J$17),0))</f>
        <v>4.83</v>
      </c>
      <c r="J6" s="19">
        <f>IF(B6="","",COUNTIF('06_MinhChung_NopBai'!$D$6:$D$43,B6))</f>
        <v>7</v>
      </c>
      <c r="K6" s="19">
        <f>IF(B6="","",COUNTIF('02_ChecklistYeuCau'!$F$6:$F$43,B6))</f>
        <v>9</v>
      </c>
      <c r="L6" s="49">
        <f>IF(B6="","",IF(SUM($F$6:$F$9)=0,0,MIN(1.3,MAX(0.7,0.65*(G6/(1/MAX(1,COUNTIF('01_ThongTinNhom'!$B$16:$B$19,"&lt;&gt;"))))+0.2*(I6/5)+0.15*(H6/5)))))</f>
        <v>0.9705506438</v>
      </c>
      <c r="M6" s="19" t="str">
        <f t="shared" ref="M6:M9" si="2">IF(B6="","",IF(D6=0,"Chưa khai task; ","")&amp;IF(J6=0,"Chưa có minh chứng; ","")&amp;IF(K6=0,"Chưa là owner yêu cầu; ","")&amp;IF(AND(G6&gt;0,G6&lt;0.15),"Tỷ trọng task thấp; ","")&amp;IF(I6=0,"Chưa được đánh giá chéo; ",""))</f>
        <v/>
      </c>
      <c r="N6" s="4"/>
      <c r="O6" s="4"/>
      <c r="P6" s="4"/>
      <c r="Q6" s="4"/>
    </row>
    <row r="7" ht="13.5" customHeight="1">
      <c r="A7" s="6">
        <v>2.0</v>
      </c>
      <c r="B7" s="19" t="str">
        <f>IF('01_ThongTinNhom'!B17="","",'01_ThongTinNhom'!B17)</f>
        <v>Võ Hoàng Danh</v>
      </c>
      <c r="C7" s="19">
        <f>IF('01_ThongTinNhom'!C17="","",'01_ThongTinNhom'!C17)</f>
        <v>23120117</v>
      </c>
      <c r="D7" s="19">
        <f>IF(B7="","",COUNTIF('03_PhanCongTask'!$F$6:$F$38,B7))</f>
        <v>7</v>
      </c>
      <c r="E7" s="19">
        <f>IF(B7="","",COUNTIFS('03_PhanCongTask'!$F$6:$F$38,B7,'03_PhanCongTask'!$I$6:$I$38,"Chính"))</f>
        <v>7</v>
      </c>
      <c r="F7" s="49">
        <f>IF(B7="","",SUMIF('03_PhanCongTask'!$F$6:$F$38,B7,'03_PhanCongTask'!$N$6:$N$38))</f>
        <v>31.73</v>
      </c>
      <c r="G7" s="50">
        <f t="shared" si="1"/>
        <v>0.1882750846</v>
      </c>
      <c r="H7" s="49">
        <f>IF(B7="","",IFERROR(AVERAGEIF('04_TuDanhGia'!$B$6:$B$9,B7,'04_TuDanhGia'!$L$6:$L$9),0))</f>
        <v>4.67</v>
      </c>
      <c r="I7" s="49">
        <f>IF(B7="","",IFERROR(AVERAGEIF('05_DanhGiaCheo'!$C$6:$C$17,B7,'05_DanhGiaCheo'!$J$6:$J$17),0))</f>
        <v>4.776666667</v>
      </c>
      <c r="J7" s="19">
        <f>IF(B7="","",COUNTIF('06_MinhChung_NopBai'!$D$6:$D$43,B7))</f>
        <v>11</v>
      </c>
      <c r="K7" s="19">
        <f>IF(B7="","",COUNTIF('02_ChecklistYeuCau'!$F$6:$F$43,B7))</f>
        <v>11</v>
      </c>
      <c r="L7" s="49">
        <f>IF(B7="","",IF(SUM($F$6:$F$9)=0,0,MIN(1.3,MAX(0.7,0.65*(G7/(1/MAX(1,COUNTIF('01_ThongTinNhom'!$B$16:$B$19,"&lt;&gt;"))))+0.2*(I7/5)+0.15*(H7/5)))))</f>
        <v>0.8206818865</v>
      </c>
      <c r="M7" s="19" t="str">
        <f t="shared" si="2"/>
        <v/>
      </c>
      <c r="N7" s="4"/>
      <c r="O7" s="4"/>
      <c r="P7" s="4"/>
      <c r="Q7" s="4"/>
    </row>
    <row r="8" ht="13.5" customHeight="1">
      <c r="A8" s="6">
        <v>3.0</v>
      </c>
      <c r="B8" s="19" t="str">
        <f>IF('01_ThongTinNhom'!B18="","",'01_ThongTinNhom'!B18)</f>
        <v>Nguyễn Hữu Phúc</v>
      </c>
      <c r="C8" s="19">
        <f>IF('01_ThongTinNhom'!C18="","",'01_ThongTinNhom'!C18)</f>
        <v>23120157</v>
      </c>
      <c r="D8" s="19">
        <f>IF(B8="","",COUNTIF('03_PhanCongTask'!$F$6:$F$38,B8))</f>
        <v>9</v>
      </c>
      <c r="E8" s="19">
        <f>IF(B8="","",COUNTIFS('03_PhanCongTask'!$F$6:$F$38,B8,'03_PhanCongTask'!$I$6:$I$38,"Chính"))</f>
        <v>9</v>
      </c>
      <c r="F8" s="49">
        <f>IF(B8="","",SUMIF('03_PhanCongTask'!$F$6:$F$38,B8,'03_PhanCongTask'!$N$6:$N$38))</f>
        <v>46.08</v>
      </c>
      <c r="G8" s="50">
        <f t="shared" si="1"/>
        <v>0.2734231294</v>
      </c>
      <c r="H8" s="49">
        <f>IF(B8="","",IFERROR(AVERAGEIF('04_TuDanhGia'!$B$6:$B$9,B8,'04_TuDanhGia'!$L$6:$L$9),0))</f>
        <v>4.78</v>
      </c>
      <c r="I8" s="49">
        <f>IF(B8="","",IFERROR(AVERAGEIF('05_DanhGiaCheo'!$C$6:$C$17,B8,'05_DanhGiaCheo'!$J$6:$J$17),0))</f>
        <v>4.83</v>
      </c>
      <c r="J8" s="19">
        <f>IF(B8="","",COUNTIF('06_MinhChung_NopBai'!$D$6:$D$43,B8))</f>
        <v>10</v>
      </c>
      <c r="K8" s="19">
        <f>IF(B8="","",COUNTIF('02_ChecklistYeuCau'!$F$6:$F$43,B8))</f>
        <v>10</v>
      </c>
      <c r="L8" s="49">
        <f>IF(B8="","",IF(SUM($F$6:$F$9)=0,0,MIN(1.3,MAX(0.7,0.65*(G8/(1/MAX(1,COUNTIF('01_ThongTinNhom'!$B$16:$B$19,"&lt;&gt;"))))+0.2*(I8/5)+0.15*(H8/5)))))</f>
        <v>1.047500136</v>
      </c>
      <c r="M8" s="19" t="str">
        <f t="shared" si="2"/>
        <v/>
      </c>
      <c r="N8" s="4"/>
      <c r="O8" s="4"/>
      <c r="P8" s="4"/>
      <c r="Q8" s="4"/>
    </row>
    <row r="9" ht="13.5" customHeight="1">
      <c r="A9" s="6">
        <v>4.0</v>
      </c>
      <c r="B9" s="19" t="str">
        <f>IF('01_ThongTinNhom'!B19="","",'01_ThongTinNhom'!B19)</f>
        <v>Huỳnh Thái Toàn</v>
      </c>
      <c r="C9" s="19">
        <f>IF('01_ThongTinNhom'!C19="","",'01_ThongTinNhom'!C19)</f>
        <v>23120175</v>
      </c>
      <c r="D9" s="19">
        <f>IF(B9="","",COUNTIF('03_PhanCongTask'!$F$6:$F$38,B9))</f>
        <v>9</v>
      </c>
      <c r="E9" s="19">
        <f>IF(B9="","",COUNTIFS('03_PhanCongTask'!$F$6:$F$38,B9,'03_PhanCongTask'!$I$6:$I$38,"Chính"))</f>
        <v>9</v>
      </c>
      <c r="F9" s="49">
        <f>IF(B9="","",SUMIF('03_PhanCongTask'!$F$6:$F$38,B9,'03_PhanCongTask'!$N$6:$N$38))</f>
        <v>49.2</v>
      </c>
      <c r="G9" s="50">
        <f t="shared" si="1"/>
        <v>0.2919361538</v>
      </c>
      <c r="H9" s="49">
        <f>IF(B9="","",IFERROR(AVERAGEIF('04_TuDanhGia'!$B$6:$B$9,B9,'04_TuDanhGia'!$L$6:$L$9),0))</f>
        <v>4.89</v>
      </c>
      <c r="I9" s="49">
        <f>IF(B9="","",IFERROR(AVERAGEIF('05_DanhGiaCheo'!$C$6:$C$17,B9,'05_DanhGiaCheo'!$J$6:$J$17),0))</f>
        <v>4.83</v>
      </c>
      <c r="J9" s="19">
        <f>IF(B9="","",COUNTIF('06_MinhChung_NopBai'!$D$6:$D$43,B9))</f>
        <v>10</v>
      </c>
      <c r="K9" s="19">
        <f>IF(B9="","",COUNTIF('02_ChecklistYeuCau'!$F$6:$F$43,B9))</f>
        <v>8</v>
      </c>
      <c r="L9" s="49">
        <f>IF(B9="","",IF(SUM($F$6:$F$9)=0,0,MIN(1.3,MAX(0.7,0.65*(G9/(1/MAX(1,COUNTIF('01_ThongTinNhom'!$B$16:$B$19,"&lt;&gt;"))))+0.2*(I9/5)+0.15*(H9/5)))))</f>
        <v>1.098934</v>
      </c>
      <c r="M9" s="19" t="str">
        <f t="shared" si="2"/>
        <v/>
      </c>
      <c r="N9" s="4"/>
      <c r="O9" s="4"/>
      <c r="P9" s="4"/>
      <c r="Q9" s="4"/>
    </row>
    <row r="10" ht="13.5" customHeight="1">
      <c r="A10" s="4"/>
      <c r="B10" s="4"/>
      <c r="C10" s="4"/>
      <c r="D10" s="4"/>
      <c r="E10" s="4"/>
      <c r="F10" s="4"/>
      <c r="G10" s="4"/>
      <c r="H10" s="4"/>
      <c r="I10" s="4"/>
      <c r="J10" s="4"/>
      <c r="K10" s="4"/>
      <c r="L10" s="4"/>
      <c r="M10" s="4"/>
      <c r="N10" s="4"/>
      <c r="O10" s="4"/>
      <c r="P10" s="4"/>
      <c r="Q10" s="4"/>
    </row>
    <row r="11" ht="13.5" customHeight="1">
      <c r="A11" s="4"/>
      <c r="B11" s="4"/>
      <c r="C11" s="4"/>
      <c r="D11" s="4"/>
      <c r="E11" s="4"/>
      <c r="F11" s="4"/>
      <c r="G11" s="4"/>
      <c r="H11" s="4"/>
      <c r="I11" s="4"/>
      <c r="J11" s="4"/>
      <c r="K11" s="4"/>
      <c r="L11" s="4"/>
      <c r="M11" s="4"/>
      <c r="N11" s="4"/>
      <c r="O11" s="4"/>
      <c r="P11" s="4"/>
      <c r="Q11" s="4"/>
    </row>
    <row r="12" ht="12.0" customHeight="1">
      <c r="A12" s="51" t="s">
        <v>868</v>
      </c>
      <c r="B12" s="2"/>
      <c r="C12" s="2"/>
      <c r="D12" s="2"/>
      <c r="E12" s="2"/>
      <c r="F12" s="2"/>
      <c r="G12" s="2"/>
      <c r="H12" s="2"/>
      <c r="I12" s="2"/>
      <c r="J12" s="2"/>
      <c r="K12" s="2"/>
      <c r="L12" s="2"/>
      <c r="M12" s="3"/>
      <c r="N12" s="4"/>
      <c r="O12" s="4"/>
      <c r="P12" s="4"/>
      <c r="Q12" s="4"/>
    </row>
    <row r="13" ht="13.5" customHeight="1">
      <c r="A13" s="52" t="s">
        <v>869</v>
      </c>
      <c r="B13" s="2"/>
      <c r="C13" s="3"/>
      <c r="D13" s="52" t="s">
        <v>146</v>
      </c>
      <c r="E13" s="2"/>
      <c r="F13" s="3"/>
      <c r="G13" s="4"/>
      <c r="H13" s="4"/>
      <c r="I13" s="4"/>
      <c r="J13" s="4"/>
      <c r="K13" s="4"/>
      <c r="L13" s="4"/>
      <c r="M13" s="4"/>
      <c r="N13" s="4"/>
      <c r="O13" s="4"/>
      <c r="P13" s="4"/>
      <c r="Q13" s="4"/>
    </row>
    <row r="14" ht="13.5" customHeight="1">
      <c r="A14" s="53">
        <f>IFERROR(SUMIFS('02_ChecklistYeuCau'!$H$6:$H$43,'02_ChecklistYeuCau'!$G$6:$G$43,"&lt;&gt;Không áp dụng")/COUNTIFS('02_ChecklistYeuCau'!$A$6:$A$43,"&lt;&gt;",'02_ChecklistYeuCau'!$G$6:$G$43,"&lt;&gt;Không áp dụng")/100,0)</f>
        <v>0.8578947368</v>
      </c>
      <c r="B14" s="22"/>
      <c r="C14" s="23"/>
      <c r="D14" s="54">
        <f>IFERROR(COUNTIFS('02_ChecklistYeuCau'!$G$6:$G$43,"Hoàn thành",'02_ChecklistYeuCau'!$J$6:$J$43,"Đạt",'02_ChecklistYeuCau'!$I$6:$I$43,"&lt;&gt;")/COUNTIFS('02_ChecklistYeuCau'!$A$6:$A$43,"&lt;&gt;",'02_ChecklistYeuCau'!$G$6:$G$43,"&lt;&gt;Không áp dụng"),0)</f>
        <v>0.6842105263</v>
      </c>
      <c r="E14" s="22"/>
      <c r="F14" s="23"/>
      <c r="G14" s="4"/>
      <c r="H14" s="4"/>
      <c r="I14" s="4"/>
      <c r="J14" s="4"/>
      <c r="K14" s="4"/>
      <c r="L14" s="4"/>
      <c r="M14" s="4"/>
      <c r="N14" s="4"/>
      <c r="O14" s="4"/>
      <c r="P14" s="4"/>
      <c r="Q14" s="4"/>
    </row>
    <row r="15" ht="13.5" customHeight="1">
      <c r="A15" s="24"/>
      <c r="C15" s="25"/>
      <c r="D15" s="24"/>
      <c r="F15" s="25"/>
      <c r="G15" s="4"/>
      <c r="H15" s="4"/>
      <c r="I15" s="4"/>
      <c r="J15" s="4"/>
      <c r="K15" s="4"/>
      <c r="L15" s="4"/>
      <c r="M15" s="4"/>
      <c r="N15" s="4"/>
      <c r="O15" s="4"/>
      <c r="P15" s="4"/>
      <c r="Q15" s="4"/>
    </row>
    <row r="16" ht="13.5" customHeight="1">
      <c r="A16" s="26"/>
      <c r="B16" s="27"/>
      <c r="C16" s="28"/>
      <c r="D16" s="26"/>
      <c r="E16" s="27"/>
      <c r="F16" s="28"/>
      <c r="G16" s="4"/>
      <c r="H16" s="4"/>
      <c r="I16" s="4"/>
      <c r="J16" s="4"/>
      <c r="K16" s="4"/>
      <c r="L16" s="4"/>
      <c r="M16" s="4"/>
      <c r="N16" s="4"/>
      <c r="O16" s="4"/>
      <c r="P16" s="4"/>
      <c r="Q16" s="4"/>
    </row>
    <row r="17" ht="13.5" customHeight="1">
      <c r="A17" s="6"/>
      <c r="B17" s="19"/>
      <c r="C17" s="6"/>
      <c r="D17" s="4"/>
      <c r="E17" s="4"/>
      <c r="F17" s="4"/>
      <c r="G17" s="4"/>
      <c r="H17" s="4"/>
      <c r="I17" s="4"/>
      <c r="J17" s="4"/>
      <c r="K17" s="4"/>
      <c r="L17" s="4"/>
      <c r="M17" s="4"/>
      <c r="N17" s="4"/>
      <c r="O17" s="4"/>
      <c r="P17" s="4"/>
      <c r="Q17" s="4"/>
    </row>
    <row r="18" ht="13.5" customHeight="1">
      <c r="A18" s="5" t="s">
        <v>870</v>
      </c>
      <c r="B18" s="5" t="s">
        <v>589</v>
      </c>
      <c r="C18" s="55" t="s">
        <v>871</v>
      </c>
      <c r="D18" s="2"/>
      <c r="E18" s="2"/>
      <c r="F18" s="2"/>
      <c r="G18" s="3"/>
      <c r="H18" s="4"/>
      <c r="I18" s="4"/>
      <c r="J18" s="4"/>
      <c r="K18" s="4"/>
      <c r="L18" s="4"/>
      <c r="M18" s="4"/>
      <c r="N18" s="4"/>
      <c r="O18" s="4"/>
      <c r="P18" s="4"/>
      <c r="Q18" s="4"/>
    </row>
    <row r="19" ht="15.0" customHeight="1">
      <c r="A19" s="56" t="s">
        <v>872</v>
      </c>
      <c r="B19" s="57">
        <f>COUNTIFS('02_ChecklistYeuCau'!$A$6:$A$43,"&lt;&gt;",'02_ChecklistYeuCau'!$G$6:$G$43,"&lt;&gt;Không áp dụng")</f>
        <v>38</v>
      </c>
      <c r="C19" s="58" t="s">
        <v>873</v>
      </c>
      <c r="D19" s="2"/>
      <c r="E19" s="2"/>
      <c r="F19" s="2"/>
      <c r="G19" s="3"/>
      <c r="H19" s="4"/>
      <c r="I19" s="4"/>
      <c r="J19" s="4"/>
      <c r="K19" s="4"/>
      <c r="L19" s="4"/>
      <c r="M19" s="4"/>
      <c r="N19" s="4"/>
      <c r="O19" s="4"/>
      <c r="P19" s="4"/>
      <c r="Q19" s="4"/>
    </row>
    <row r="20" ht="15.0" customHeight="1">
      <c r="A20" s="56" t="s">
        <v>874</v>
      </c>
      <c r="B20" s="57">
        <f>COUNTIF('02_ChecklistYeuCau'!$G$6:$G$43,"Hoàn thành")</f>
        <v>26</v>
      </c>
      <c r="C20" s="58" t="s">
        <v>875</v>
      </c>
      <c r="D20" s="2"/>
      <c r="E20" s="2"/>
      <c r="F20" s="2"/>
      <c r="G20" s="3"/>
      <c r="H20" s="4"/>
      <c r="I20" s="4"/>
      <c r="J20" s="4"/>
      <c r="K20" s="4"/>
      <c r="L20" s="4"/>
      <c r="M20" s="4"/>
      <c r="N20" s="4"/>
      <c r="O20" s="4"/>
      <c r="P20" s="4"/>
      <c r="Q20" s="4"/>
    </row>
    <row r="21" ht="15.0" customHeight="1">
      <c r="A21" s="56" t="s">
        <v>876</v>
      </c>
      <c r="B21" s="59">
        <f>IFERROR(B20/B19,0)</f>
        <v>0.6842105263</v>
      </c>
      <c r="C21" s="58" t="s">
        <v>877</v>
      </c>
      <c r="D21" s="2"/>
      <c r="E21" s="2"/>
      <c r="F21" s="2"/>
      <c r="G21" s="3"/>
      <c r="H21" s="4"/>
      <c r="I21" s="4"/>
      <c r="J21" s="4"/>
      <c r="K21" s="4"/>
      <c r="L21" s="4"/>
      <c r="M21" s="4"/>
      <c r="N21" s="4"/>
      <c r="O21" s="4"/>
      <c r="P21" s="4"/>
      <c r="Q21" s="4"/>
    </row>
    <row r="22" ht="15.0" customHeight="1">
      <c r="A22" s="56" t="s">
        <v>878</v>
      </c>
      <c r="B22" s="59">
        <f>IFERROR(COUNTIFS('02_ChecklistYeuCau'!$J$6:$J$43,"Đạt",'02_ChecklistYeuCau'!$G$6:$G$43,"&lt;&gt;Không áp dụng")/B19,0)</f>
        <v>0.6842105263</v>
      </c>
      <c r="C22" s="58" t="s">
        <v>879</v>
      </c>
      <c r="D22" s="2"/>
      <c r="E22" s="2"/>
      <c r="F22" s="2"/>
      <c r="G22" s="3"/>
      <c r="H22" s="4"/>
      <c r="I22" s="4"/>
      <c r="J22" s="4"/>
      <c r="K22" s="4"/>
      <c r="L22" s="4"/>
      <c r="M22" s="4"/>
      <c r="N22" s="4"/>
      <c r="O22" s="4"/>
      <c r="P22" s="4"/>
      <c r="Q22" s="4"/>
    </row>
    <row r="23" ht="15.0" customHeight="1">
      <c r="A23" s="56" t="s">
        <v>880</v>
      </c>
      <c r="B23" s="59">
        <f>IFERROR(COUNTIFS('02_ChecklistYeuCau'!$I$6:$I$43,"&lt;&gt;",'02_ChecklistYeuCau'!$G$6:$G$43,"&lt;&gt;Không áp dụng")/B19,0)</f>
        <v>1</v>
      </c>
      <c r="C23" s="58" t="s">
        <v>881</v>
      </c>
      <c r="D23" s="2"/>
      <c r="E23" s="2"/>
      <c r="F23" s="2"/>
      <c r="G23" s="3"/>
      <c r="H23" s="4"/>
      <c r="I23" s="4"/>
      <c r="J23" s="4"/>
      <c r="K23" s="4"/>
      <c r="L23" s="4"/>
      <c r="M23" s="4"/>
      <c r="N23" s="4"/>
      <c r="O23" s="4"/>
      <c r="P23" s="4"/>
      <c r="Q23" s="4"/>
    </row>
    <row r="24" ht="15.0" customHeight="1">
      <c r="A24" s="56" t="s">
        <v>882</v>
      </c>
      <c r="B24" s="59">
        <f>D14</f>
        <v>0.6842105263</v>
      </c>
      <c r="C24" s="58" t="s">
        <v>883</v>
      </c>
      <c r="D24" s="2"/>
      <c r="E24" s="2"/>
      <c r="F24" s="2"/>
      <c r="G24" s="3"/>
      <c r="H24" s="4"/>
      <c r="I24" s="4"/>
      <c r="J24" s="4"/>
      <c r="K24" s="4"/>
      <c r="L24" s="4"/>
      <c r="M24" s="4"/>
      <c r="N24" s="4"/>
      <c r="O24" s="4"/>
      <c r="P24" s="4"/>
      <c r="Q24" s="4"/>
    </row>
    <row r="25" ht="15.0" customHeight="1">
      <c r="A25" s="56" t="s">
        <v>884</v>
      </c>
      <c r="B25" s="57">
        <f>MAX(B19-B20,0)</f>
        <v>12</v>
      </c>
      <c r="C25" s="58" t="s">
        <v>885</v>
      </c>
      <c r="D25" s="2"/>
      <c r="E25" s="2"/>
      <c r="F25" s="2"/>
      <c r="G25" s="3"/>
      <c r="H25" s="4"/>
      <c r="I25" s="4"/>
      <c r="J25" s="4"/>
      <c r="K25" s="4"/>
      <c r="L25" s="4"/>
      <c r="M25" s="4"/>
      <c r="N25" s="4"/>
      <c r="O25" s="4"/>
      <c r="P25" s="4"/>
      <c r="Q25" s="4"/>
    </row>
    <row r="26" ht="15.0" customHeight="1">
      <c r="A26" s="56" t="s">
        <v>886</v>
      </c>
      <c r="B26" s="57">
        <f>COUNTIF('02_ChecklistYeuCau'!$G$6:$G$43,"Không áp dụng")</f>
        <v>0</v>
      </c>
      <c r="C26" s="58" t="s">
        <v>887</v>
      </c>
      <c r="D26" s="2"/>
      <c r="E26" s="2"/>
      <c r="F26" s="2"/>
      <c r="G26" s="3"/>
      <c r="H26" s="4"/>
      <c r="I26" s="4"/>
      <c r="J26" s="4"/>
      <c r="K26" s="4"/>
      <c r="L26" s="4"/>
      <c r="M26" s="4"/>
      <c r="N26" s="4"/>
      <c r="O26" s="4"/>
      <c r="P26" s="4"/>
      <c r="Q26" s="4"/>
    </row>
    <row r="27" ht="13.5" customHeight="1">
      <c r="A27" s="4"/>
      <c r="B27" s="4"/>
      <c r="C27" s="4"/>
      <c r="D27" s="4"/>
      <c r="E27" s="4"/>
      <c r="F27" s="4"/>
      <c r="G27" s="4"/>
      <c r="H27" s="4"/>
      <c r="I27" s="4"/>
      <c r="J27" s="4"/>
      <c r="K27" s="4"/>
      <c r="L27" s="4"/>
      <c r="M27" s="4"/>
      <c r="N27" s="4"/>
      <c r="O27" s="4"/>
      <c r="P27" s="4"/>
      <c r="Q27" s="4"/>
    </row>
    <row r="28" ht="21.0" customHeight="1">
      <c r="A28" s="60" t="s">
        <v>888</v>
      </c>
      <c r="B28" s="22"/>
      <c r="C28" s="22"/>
      <c r="D28" s="22"/>
      <c r="E28" s="22"/>
      <c r="F28" s="22"/>
      <c r="G28" s="23"/>
      <c r="H28" s="4"/>
      <c r="I28" s="4"/>
      <c r="J28" s="4"/>
      <c r="K28" s="4"/>
      <c r="L28" s="4"/>
      <c r="M28" s="4"/>
      <c r="N28" s="4"/>
      <c r="O28" s="4"/>
      <c r="P28" s="4"/>
      <c r="Q28" s="4"/>
    </row>
    <row r="29" ht="13.5" customHeight="1">
      <c r="A29" s="26"/>
      <c r="B29" s="27"/>
      <c r="C29" s="27"/>
      <c r="D29" s="27"/>
      <c r="E29" s="27"/>
      <c r="F29" s="27"/>
      <c r="G29" s="28"/>
      <c r="H29" s="4"/>
      <c r="I29" s="4"/>
      <c r="J29" s="4"/>
      <c r="K29" s="4"/>
      <c r="L29" s="4"/>
      <c r="M29" s="4"/>
      <c r="N29" s="4"/>
      <c r="O29" s="4"/>
      <c r="P29" s="4"/>
      <c r="Q29" s="4"/>
    </row>
    <row r="30" ht="13.5" customHeight="1">
      <c r="A30" s="4"/>
      <c r="B30" s="4"/>
      <c r="C30" s="4"/>
      <c r="D30" s="4"/>
      <c r="E30" s="4"/>
      <c r="F30" s="4"/>
      <c r="G30" s="4"/>
      <c r="H30" s="4"/>
      <c r="I30" s="4"/>
      <c r="J30" s="4"/>
      <c r="K30" s="4"/>
      <c r="L30" s="4"/>
      <c r="M30" s="4"/>
      <c r="N30" s="4"/>
      <c r="O30" s="4"/>
      <c r="P30" s="4"/>
      <c r="Q30" s="4"/>
    </row>
    <row r="31" ht="13.5" customHeight="1">
      <c r="A31" s="4"/>
      <c r="B31" s="4"/>
      <c r="C31" s="4"/>
      <c r="D31" s="4"/>
      <c r="E31" s="4"/>
      <c r="F31" s="4"/>
      <c r="G31" s="4"/>
      <c r="H31" s="4"/>
      <c r="I31" s="4"/>
      <c r="J31" s="4"/>
      <c r="K31" s="4"/>
      <c r="L31" s="4"/>
      <c r="M31" s="4"/>
      <c r="N31" s="4"/>
      <c r="O31" s="4"/>
      <c r="P31" s="4"/>
      <c r="Q31" s="4"/>
    </row>
    <row r="32" ht="13.5" customHeight="1">
      <c r="A32" s="4"/>
      <c r="B32" s="4"/>
      <c r="C32" s="4"/>
      <c r="D32" s="4"/>
      <c r="E32" s="4"/>
      <c r="F32" s="4"/>
      <c r="G32" s="4"/>
      <c r="H32" s="4"/>
      <c r="I32" s="4"/>
      <c r="J32" s="4"/>
      <c r="K32" s="4"/>
      <c r="L32" s="4"/>
      <c r="M32" s="4"/>
      <c r="N32" s="4"/>
      <c r="O32" s="4"/>
      <c r="P32" s="4"/>
      <c r="Q32" s="4"/>
    </row>
    <row r="33" ht="13.5" customHeight="1">
      <c r="A33" s="4"/>
      <c r="B33" s="4"/>
      <c r="C33" s="4"/>
      <c r="D33" s="4"/>
      <c r="E33" s="4"/>
      <c r="F33" s="4"/>
      <c r="G33" s="4"/>
      <c r="H33" s="4"/>
      <c r="I33" s="4"/>
      <c r="J33" s="4"/>
      <c r="K33" s="4"/>
      <c r="L33" s="4"/>
      <c r="M33" s="4"/>
      <c r="N33" s="4"/>
      <c r="O33" s="4"/>
      <c r="P33" s="4"/>
      <c r="Q33" s="4"/>
    </row>
    <row r="34" ht="13.5" customHeight="1">
      <c r="A34" s="4"/>
      <c r="B34" s="4"/>
      <c r="C34" s="4"/>
      <c r="D34" s="4"/>
      <c r="E34" s="4"/>
      <c r="F34" s="4"/>
      <c r="G34" s="4"/>
      <c r="H34" s="4"/>
      <c r="I34" s="4"/>
      <c r="J34" s="4"/>
      <c r="K34" s="4"/>
      <c r="L34" s="4"/>
      <c r="M34" s="4"/>
      <c r="N34" s="4"/>
      <c r="O34" s="4"/>
      <c r="P34" s="4"/>
      <c r="Q34" s="4"/>
    </row>
    <row r="35" ht="13.5" customHeight="1">
      <c r="A35" s="4"/>
      <c r="B35" s="4"/>
      <c r="C35" s="4"/>
      <c r="D35" s="4"/>
      <c r="E35" s="4"/>
      <c r="F35" s="4"/>
      <c r="G35" s="4"/>
      <c r="H35" s="4"/>
      <c r="I35" s="4"/>
      <c r="J35" s="4"/>
      <c r="K35" s="4"/>
      <c r="L35" s="4"/>
      <c r="M35" s="4"/>
      <c r="N35" s="4"/>
      <c r="O35" s="4"/>
      <c r="P35" s="4"/>
      <c r="Q35" s="4"/>
    </row>
    <row r="36" ht="13.5" customHeight="1">
      <c r="A36" s="4"/>
      <c r="B36" s="4"/>
      <c r="C36" s="4"/>
      <c r="D36" s="4"/>
      <c r="E36" s="4"/>
      <c r="F36" s="4"/>
      <c r="G36" s="4"/>
      <c r="H36" s="4"/>
      <c r="I36" s="4"/>
      <c r="J36" s="4"/>
      <c r="K36" s="4"/>
      <c r="L36" s="4"/>
      <c r="M36" s="4"/>
      <c r="N36" s="4"/>
      <c r="O36" s="4"/>
      <c r="P36" s="4"/>
      <c r="Q36" s="4"/>
    </row>
    <row r="37" ht="13.5" customHeight="1">
      <c r="A37" s="4"/>
      <c r="B37" s="4"/>
      <c r="C37" s="4"/>
      <c r="D37" s="4"/>
      <c r="E37" s="4"/>
      <c r="F37" s="4"/>
      <c r="G37" s="4"/>
      <c r="H37" s="4"/>
      <c r="I37" s="4"/>
      <c r="J37" s="4"/>
      <c r="K37" s="4"/>
      <c r="L37" s="4"/>
      <c r="M37" s="4"/>
      <c r="N37" s="4"/>
      <c r="O37" s="4"/>
      <c r="P37" s="4"/>
      <c r="Q37" s="4"/>
    </row>
    <row r="38" ht="13.5" customHeight="1">
      <c r="A38" s="4"/>
      <c r="B38" s="4"/>
      <c r="C38" s="4"/>
      <c r="D38" s="4"/>
      <c r="E38" s="4"/>
      <c r="F38" s="4"/>
      <c r="G38" s="4"/>
      <c r="H38" s="4"/>
      <c r="I38" s="4"/>
      <c r="J38" s="4"/>
      <c r="K38" s="4"/>
      <c r="L38" s="4"/>
      <c r="M38" s="4"/>
      <c r="N38" s="4"/>
      <c r="O38" s="4"/>
      <c r="P38" s="4"/>
      <c r="Q38" s="4"/>
    </row>
    <row r="39" ht="13.5" customHeight="1">
      <c r="A39" s="4"/>
      <c r="B39" s="4"/>
      <c r="C39" s="4"/>
      <c r="D39" s="4"/>
      <c r="E39" s="4"/>
      <c r="F39" s="4"/>
      <c r="G39" s="4"/>
      <c r="H39" s="4"/>
      <c r="I39" s="4"/>
      <c r="J39" s="4"/>
      <c r="K39" s="4"/>
      <c r="L39" s="4"/>
      <c r="M39" s="4"/>
      <c r="N39" s="4"/>
      <c r="O39" s="4"/>
      <c r="P39" s="4"/>
      <c r="Q39" s="4"/>
    </row>
    <row r="40" ht="13.5" customHeight="1">
      <c r="A40" s="4"/>
      <c r="B40" s="4"/>
      <c r="C40" s="4"/>
      <c r="D40" s="4"/>
      <c r="E40" s="4"/>
      <c r="F40" s="4"/>
      <c r="G40" s="4"/>
      <c r="H40" s="4"/>
      <c r="I40" s="4"/>
      <c r="J40" s="4"/>
      <c r="K40" s="4"/>
      <c r="L40" s="4"/>
      <c r="M40" s="4"/>
      <c r="N40" s="4"/>
      <c r="O40" s="4"/>
      <c r="P40" s="4"/>
      <c r="Q40" s="4"/>
    </row>
    <row r="41" ht="13.5" customHeight="1">
      <c r="A41" s="4"/>
      <c r="B41" s="4"/>
      <c r="C41" s="4"/>
      <c r="D41" s="4"/>
      <c r="E41" s="4"/>
      <c r="F41" s="4"/>
      <c r="G41" s="4"/>
      <c r="H41" s="4"/>
      <c r="I41" s="4"/>
      <c r="J41" s="4"/>
      <c r="K41" s="4"/>
      <c r="L41" s="4"/>
      <c r="M41" s="4"/>
      <c r="N41" s="4"/>
      <c r="O41" s="4"/>
      <c r="P41" s="4"/>
      <c r="Q41" s="4"/>
    </row>
    <row r="42" ht="13.5" customHeight="1">
      <c r="A42" s="4"/>
      <c r="B42" s="4"/>
      <c r="C42" s="4"/>
      <c r="D42" s="4"/>
      <c r="E42" s="4"/>
      <c r="F42" s="4"/>
      <c r="G42" s="4"/>
      <c r="H42" s="4"/>
      <c r="I42" s="4"/>
      <c r="J42" s="4"/>
      <c r="K42" s="4"/>
      <c r="L42" s="4"/>
      <c r="M42" s="4"/>
      <c r="N42" s="4"/>
      <c r="O42" s="4"/>
      <c r="P42" s="4"/>
      <c r="Q42" s="4"/>
    </row>
    <row r="43" ht="13.5" customHeight="1">
      <c r="A43" s="4"/>
      <c r="B43" s="4"/>
      <c r="C43" s="4"/>
      <c r="D43" s="4"/>
      <c r="E43" s="4"/>
      <c r="F43" s="4"/>
      <c r="G43" s="4"/>
      <c r="H43" s="4"/>
      <c r="I43" s="4"/>
      <c r="J43" s="4"/>
      <c r="K43" s="4"/>
      <c r="L43" s="4"/>
      <c r="M43" s="4"/>
      <c r="N43" s="4"/>
      <c r="O43" s="4"/>
      <c r="P43" s="4"/>
      <c r="Q43" s="4"/>
    </row>
    <row r="44" ht="13.5" customHeight="1">
      <c r="A44" s="4"/>
      <c r="B44" s="4"/>
      <c r="C44" s="4"/>
      <c r="D44" s="4"/>
      <c r="E44" s="4"/>
      <c r="F44" s="4"/>
      <c r="G44" s="4"/>
      <c r="H44" s="4"/>
      <c r="I44" s="4"/>
      <c r="J44" s="4"/>
      <c r="K44" s="4"/>
      <c r="L44" s="4"/>
      <c r="M44" s="4"/>
      <c r="N44" s="4"/>
      <c r="O44" s="4"/>
      <c r="P44" s="4"/>
      <c r="Q44" s="4"/>
    </row>
    <row r="45" ht="13.5" customHeight="1">
      <c r="A45" s="4"/>
      <c r="B45" s="4"/>
      <c r="C45" s="4"/>
      <c r="D45" s="4"/>
      <c r="E45" s="4"/>
      <c r="F45" s="4"/>
      <c r="G45" s="4"/>
      <c r="H45" s="4"/>
      <c r="I45" s="4"/>
      <c r="J45" s="4"/>
      <c r="K45" s="4"/>
      <c r="L45" s="4"/>
      <c r="M45" s="4"/>
      <c r="N45" s="4"/>
      <c r="O45" s="4"/>
      <c r="P45" s="4"/>
      <c r="Q45" s="4"/>
    </row>
    <row r="46" ht="13.5" customHeight="1">
      <c r="A46" s="4"/>
      <c r="B46" s="4"/>
      <c r="C46" s="4"/>
      <c r="D46" s="4"/>
      <c r="E46" s="4"/>
      <c r="F46" s="4"/>
      <c r="G46" s="4"/>
      <c r="H46" s="4"/>
      <c r="I46" s="4"/>
      <c r="J46" s="4"/>
      <c r="K46" s="4"/>
      <c r="L46" s="4"/>
      <c r="M46" s="4"/>
      <c r="N46" s="4"/>
      <c r="O46" s="4"/>
      <c r="P46" s="4"/>
      <c r="Q46" s="4"/>
    </row>
    <row r="47" ht="13.5" customHeight="1">
      <c r="A47" s="4"/>
      <c r="B47" s="4"/>
      <c r="C47" s="4"/>
      <c r="D47" s="4"/>
      <c r="E47" s="4"/>
      <c r="F47" s="4"/>
      <c r="G47" s="4"/>
      <c r="H47" s="4"/>
      <c r="I47" s="4"/>
      <c r="J47" s="4"/>
      <c r="K47" s="4"/>
      <c r="L47" s="4"/>
      <c r="M47" s="4"/>
      <c r="N47" s="4"/>
      <c r="O47" s="4"/>
      <c r="P47" s="4"/>
      <c r="Q47" s="4"/>
    </row>
    <row r="48" ht="13.5" customHeight="1">
      <c r="A48" s="4"/>
      <c r="B48" s="4"/>
      <c r="C48" s="4"/>
      <c r="D48" s="4"/>
      <c r="E48" s="4"/>
      <c r="F48" s="4"/>
      <c r="G48" s="4"/>
      <c r="H48" s="4"/>
      <c r="I48" s="4"/>
      <c r="J48" s="4"/>
      <c r="K48" s="4"/>
      <c r="L48" s="4"/>
      <c r="M48" s="4"/>
      <c r="N48" s="4"/>
      <c r="O48" s="4"/>
      <c r="P48" s="4"/>
      <c r="Q48" s="4"/>
    </row>
    <row r="49" ht="13.5" customHeight="1">
      <c r="A49" s="4"/>
      <c r="B49" s="4"/>
      <c r="C49" s="4"/>
      <c r="D49" s="4"/>
      <c r="E49" s="4"/>
      <c r="F49" s="4"/>
      <c r="G49" s="4"/>
      <c r="H49" s="4"/>
      <c r="I49" s="4"/>
      <c r="J49" s="4"/>
      <c r="K49" s="4"/>
      <c r="L49" s="4"/>
      <c r="M49" s="4"/>
      <c r="N49" s="4"/>
      <c r="O49" s="4"/>
      <c r="P49" s="4"/>
      <c r="Q49" s="4"/>
    </row>
    <row r="50" ht="13.5" customHeight="1">
      <c r="A50" s="4"/>
      <c r="B50" s="4"/>
      <c r="C50" s="4"/>
      <c r="D50" s="4"/>
      <c r="E50" s="4"/>
      <c r="F50" s="4"/>
      <c r="G50" s="4"/>
      <c r="H50" s="4"/>
      <c r="I50" s="4"/>
      <c r="J50" s="4"/>
      <c r="K50" s="4"/>
      <c r="L50" s="4"/>
      <c r="M50" s="4"/>
      <c r="N50" s="4"/>
      <c r="O50" s="4"/>
      <c r="P50" s="4"/>
      <c r="Q50" s="4"/>
    </row>
    <row r="51" ht="13.5" customHeight="1">
      <c r="A51" s="4"/>
      <c r="B51" s="4"/>
      <c r="C51" s="4"/>
      <c r="D51" s="4"/>
      <c r="E51" s="4"/>
      <c r="F51" s="4"/>
      <c r="G51" s="4"/>
      <c r="H51" s="4"/>
      <c r="I51" s="4"/>
      <c r="J51" s="4"/>
      <c r="K51" s="4"/>
      <c r="L51" s="4"/>
      <c r="M51" s="4"/>
      <c r="N51" s="4"/>
      <c r="O51" s="4"/>
      <c r="P51" s="4"/>
      <c r="Q51" s="4"/>
    </row>
    <row r="52" ht="13.5" customHeight="1">
      <c r="A52" s="4"/>
      <c r="B52" s="4"/>
      <c r="C52" s="4"/>
      <c r="D52" s="4"/>
      <c r="E52" s="4"/>
      <c r="F52" s="4"/>
      <c r="G52" s="4"/>
      <c r="H52" s="4"/>
      <c r="I52" s="4"/>
      <c r="J52" s="4"/>
      <c r="K52" s="4"/>
      <c r="L52" s="4"/>
      <c r="M52" s="4"/>
      <c r="N52" s="4"/>
      <c r="O52" s="4"/>
      <c r="P52" s="4"/>
      <c r="Q52" s="4"/>
    </row>
    <row r="53" ht="13.5" customHeight="1">
      <c r="A53" s="4"/>
      <c r="B53" s="4"/>
      <c r="C53" s="4"/>
      <c r="D53" s="4"/>
      <c r="E53" s="4"/>
      <c r="F53" s="4"/>
      <c r="G53" s="4"/>
      <c r="H53" s="4"/>
      <c r="I53" s="4"/>
      <c r="J53" s="4"/>
      <c r="K53" s="4"/>
      <c r="L53" s="4"/>
      <c r="M53" s="4"/>
      <c r="N53" s="4"/>
      <c r="O53" s="4"/>
      <c r="P53" s="4"/>
      <c r="Q53" s="4"/>
    </row>
    <row r="54" ht="13.5" customHeight="1">
      <c r="A54" s="4"/>
      <c r="B54" s="4"/>
      <c r="C54" s="4"/>
      <c r="D54" s="4"/>
      <c r="E54" s="4"/>
      <c r="F54" s="4"/>
      <c r="G54" s="4"/>
      <c r="H54" s="4"/>
      <c r="I54" s="4"/>
      <c r="J54" s="4"/>
      <c r="K54" s="4"/>
      <c r="L54" s="4"/>
      <c r="M54" s="4"/>
      <c r="N54" s="4"/>
      <c r="O54" s="4"/>
      <c r="P54" s="4"/>
      <c r="Q54" s="4"/>
    </row>
    <row r="55" ht="13.5" customHeight="1">
      <c r="A55" s="4"/>
      <c r="B55" s="4"/>
      <c r="C55" s="4"/>
      <c r="D55" s="4"/>
      <c r="E55" s="4"/>
      <c r="F55" s="4"/>
      <c r="G55" s="4"/>
      <c r="H55" s="4"/>
      <c r="I55" s="4"/>
      <c r="J55" s="4"/>
      <c r="K55" s="4"/>
      <c r="L55" s="4"/>
      <c r="M55" s="4"/>
      <c r="N55" s="4"/>
      <c r="O55" s="4"/>
      <c r="P55" s="4"/>
      <c r="Q55" s="4"/>
    </row>
    <row r="56" ht="13.5" customHeight="1">
      <c r="A56" s="4"/>
      <c r="B56" s="4"/>
      <c r="C56" s="4"/>
      <c r="D56" s="4"/>
      <c r="E56" s="4"/>
      <c r="F56" s="4"/>
      <c r="G56" s="4"/>
      <c r="H56" s="4"/>
      <c r="I56" s="4"/>
      <c r="J56" s="4"/>
      <c r="K56" s="4"/>
      <c r="L56" s="4"/>
      <c r="M56" s="4"/>
      <c r="N56" s="4"/>
      <c r="O56" s="4"/>
      <c r="P56" s="4"/>
      <c r="Q56" s="4"/>
    </row>
    <row r="57" ht="13.5" customHeight="1">
      <c r="A57" s="4"/>
      <c r="B57" s="4"/>
      <c r="C57" s="4"/>
      <c r="D57" s="4"/>
      <c r="E57" s="4"/>
      <c r="F57" s="4"/>
      <c r="G57" s="4"/>
      <c r="H57" s="4"/>
      <c r="I57" s="4"/>
      <c r="J57" s="4"/>
      <c r="K57" s="4"/>
      <c r="L57" s="4"/>
      <c r="M57" s="4"/>
      <c r="N57" s="4"/>
      <c r="O57" s="4"/>
      <c r="P57" s="4"/>
      <c r="Q57" s="4"/>
    </row>
    <row r="58" ht="13.5" customHeight="1">
      <c r="A58" s="4"/>
      <c r="B58" s="4"/>
      <c r="C58" s="4"/>
      <c r="D58" s="4"/>
      <c r="E58" s="4"/>
      <c r="F58" s="4"/>
      <c r="G58" s="4"/>
      <c r="H58" s="4"/>
      <c r="I58" s="4"/>
      <c r="J58" s="4"/>
      <c r="K58" s="4"/>
      <c r="L58" s="4"/>
      <c r="M58" s="4"/>
      <c r="N58" s="4"/>
      <c r="O58" s="4"/>
      <c r="P58" s="4"/>
      <c r="Q58" s="4"/>
    </row>
    <row r="59" ht="13.5" customHeight="1">
      <c r="A59" s="4"/>
      <c r="B59" s="4"/>
      <c r="C59" s="4"/>
      <c r="D59" s="4"/>
      <c r="E59" s="4"/>
      <c r="F59" s="4"/>
      <c r="G59" s="4"/>
      <c r="H59" s="4"/>
      <c r="I59" s="4"/>
      <c r="J59" s="4"/>
      <c r="K59" s="4"/>
      <c r="L59" s="4"/>
      <c r="M59" s="4"/>
      <c r="N59" s="4"/>
      <c r="O59" s="4"/>
      <c r="P59" s="4"/>
      <c r="Q59" s="4"/>
    </row>
    <row r="60" ht="13.5" customHeight="1">
      <c r="A60" s="4"/>
      <c r="B60" s="4"/>
      <c r="C60" s="4"/>
      <c r="D60" s="4"/>
      <c r="E60" s="4"/>
      <c r="F60" s="4"/>
      <c r="G60" s="4"/>
      <c r="H60" s="4"/>
      <c r="I60" s="4"/>
      <c r="J60" s="4"/>
      <c r="K60" s="4"/>
      <c r="L60" s="4"/>
      <c r="M60" s="4"/>
      <c r="N60" s="4"/>
      <c r="O60" s="4"/>
      <c r="P60" s="4"/>
      <c r="Q60" s="4"/>
    </row>
    <row r="61" ht="13.5" customHeight="1">
      <c r="A61" s="4"/>
      <c r="B61" s="4"/>
      <c r="C61" s="4"/>
      <c r="D61" s="4"/>
      <c r="E61" s="4"/>
      <c r="F61" s="4"/>
      <c r="G61" s="4"/>
      <c r="H61" s="4"/>
      <c r="I61" s="4"/>
      <c r="J61" s="4"/>
      <c r="K61" s="4"/>
      <c r="L61" s="4"/>
      <c r="M61" s="4"/>
      <c r="N61" s="4"/>
      <c r="O61" s="4"/>
      <c r="P61" s="4"/>
      <c r="Q61" s="4"/>
    </row>
    <row r="62" ht="13.5" customHeight="1">
      <c r="A62" s="4"/>
      <c r="B62" s="4"/>
      <c r="C62" s="4"/>
      <c r="D62" s="4"/>
      <c r="E62" s="4"/>
      <c r="F62" s="4"/>
      <c r="G62" s="4"/>
      <c r="H62" s="4"/>
      <c r="I62" s="4"/>
      <c r="J62" s="4"/>
      <c r="K62" s="4"/>
      <c r="L62" s="4"/>
      <c r="M62" s="4"/>
      <c r="N62" s="4"/>
      <c r="O62" s="4"/>
      <c r="P62" s="4"/>
      <c r="Q62" s="4"/>
    </row>
    <row r="63" ht="13.5" customHeight="1">
      <c r="A63" s="4"/>
      <c r="B63" s="4"/>
      <c r="C63" s="4"/>
      <c r="D63" s="4"/>
      <c r="E63" s="4"/>
      <c r="F63" s="4"/>
      <c r="G63" s="4"/>
      <c r="H63" s="4"/>
      <c r="I63" s="4"/>
      <c r="J63" s="4"/>
      <c r="K63" s="4"/>
      <c r="L63" s="4"/>
      <c r="M63" s="4"/>
      <c r="N63" s="4"/>
      <c r="O63" s="4"/>
      <c r="P63" s="4"/>
      <c r="Q63" s="4"/>
    </row>
    <row r="64" ht="13.5" customHeight="1">
      <c r="A64" s="4"/>
      <c r="B64" s="4"/>
      <c r="C64" s="4"/>
      <c r="D64" s="4"/>
      <c r="E64" s="4"/>
      <c r="F64" s="4"/>
      <c r="G64" s="4"/>
      <c r="H64" s="4"/>
      <c r="I64" s="4"/>
      <c r="J64" s="4"/>
      <c r="K64" s="4"/>
      <c r="L64" s="4"/>
      <c r="M64" s="4"/>
      <c r="N64" s="4"/>
      <c r="O64" s="4"/>
      <c r="P64" s="4"/>
      <c r="Q64" s="4"/>
    </row>
    <row r="65" ht="13.5" customHeight="1">
      <c r="A65" s="4"/>
      <c r="B65" s="4"/>
      <c r="C65" s="4"/>
      <c r="D65" s="4"/>
      <c r="E65" s="4"/>
      <c r="F65" s="4"/>
      <c r="G65" s="4"/>
      <c r="H65" s="4"/>
      <c r="I65" s="4"/>
      <c r="J65" s="4"/>
      <c r="K65" s="4"/>
      <c r="L65" s="4"/>
      <c r="M65" s="4"/>
      <c r="N65" s="4"/>
      <c r="O65" s="4"/>
      <c r="P65" s="4"/>
      <c r="Q65" s="4"/>
    </row>
    <row r="66" ht="13.5" customHeight="1">
      <c r="A66" s="4"/>
      <c r="B66" s="4"/>
      <c r="C66" s="4"/>
      <c r="D66" s="4"/>
      <c r="E66" s="4"/>
      <c r="F66" s="4"/>
      <c r="G66" s="4"/>
      <c r="H66" s="4"/>
      <c r="I66" s="4"/>
      <c r="J66" s="4"/>
      <c r="K66" s="4"/>
      <c r="L66" s="4"/>
      <c r="M66" s="4"/>
      <c r="N66" s="4"/>
      <c r="O66" s="4"/>
      <c r="P66" s="4"/>
      <c r="Q66" s="4"/>
    </row>
    <row r="67" ht="13.5" customHeight="1">
      <c r="A67" s="4"/>
      <c r="B67" s="4"/>
      <c r="C67" s="4"/>
      <c r="D67" s="4"/>
      <c r="E67" s="4"/>
      <c r="F67" s="4"/>
      <c r="G67" s="4"/>
      <c r="H67" s="4"/>
      <c r="I67" s="4"/>
      <c r="J67" s="4"/>
      <c r="K67" s="4"/>
      <c r="L67" s="4"/>
      <c r="M67" s="4"/>
      <c r="N67" s="4"/>
      <c r="O67" s="4"/>
      <c r="P67" s="4"/>
      <c r="Q67" s="4"/>
    </row>
    <row r="68" ht="13.5" customHeight="1">
      <c r="A68" s="4"/>
      <c r="B68" s="4"/>
      <c r="C68" s="4"/>
      <c r="D68" s="4"/>
      <c r="E68" s="4"/>
      <c r="F68" s="4"/>
      <c r="G68" s="4"/>
      <c r="H68" s="4"/>
      <c r="I68" s="4"/>
      <c r="J68" s="4"/>
      <c r="K68" s="4"/>
      <c r="L68" s="4"/>
      <c r="M68" s="4"/>
      <c r="N68" s="4"/>
      <c r="O68" s="4"/>
      <c r="P68" s="4"/>
      <c r="Q68" s="4"/>
    </row>
    <row r="69" ht="13.5" customHeight="1">
      <c r="A69" s="4"/>
      <c r="B69" s="4"/>
      <c r="C69" s="4"/>
      <c r="D69" s="4"/>
      <c r="E69" s="4"/>
      <c r="F69" s="4"/>
      <c r="G69" s="4"/>
      <c r="H69" s="4"/>
      <c r="I69" s="4"/>
      <c r="J69" s="4"/>
      <c r="K69" s="4"/>
      <c r="L69" s="4"/>
      <c r="M69" s="4"/>
      <c r="N69" s="4"/>
      <c r="O69" s="4"/>
      <c r="P69" s="4"/>
      <c r="Q69" s="4"/>
    </row>
    <row r="70" ht="13.5" customHeight="1">
      <c r="A70" s="4"/>
      <c r="B70" s="4"/>
      <c r="C70" s="4"/>
      <c r="D70" s="4"/>
      <c r="E70" s="4"/>
      <c r="F70" s="4"/>
      <c r="G70" s="4"/>
      <c r="H70" s="4"/>
      <c r="I70" s="4"/>
      <c r="J70" s="4"/>
      <c r="K70" s="4"/>
      <c r="L70" s="4"/>
      <c r="M70" s="4"/>
      <c r="N70" s="4"/>
      <c r="O70" s="4"/>
      <c r="P70" s="4"/>
      <c r="Q70" s="4"/>
    </row>
    <row r="71" ht="13.5" customHeight="1">
      <c r="A71" s="4"/>
      <c r="B71" s="4"/>
      <c r="C71" s="4"/>
      <c r="D71" s="4"/>
      <c r="E71" s="4"/>
      <c r="F71" s="4"/>
      <c r="G71" s="4"/>
      <c r="H71" s="4"/>
      <c r="I71" s="4"/>
      <c r="J71" s="4"/>
      <c r="K71" s="4"/>
      <c r="L71" s="4"/>
      <c r="M71" s="4"/>
      <c r="N71" s="4"/>
      <c r="O71" s="4"/>
      <c r="P71" s="4"/>
      <c r="Q71" s="4"/>
    </row>
    <row r="72" ht="13.5" customHeight="1">
      <c r="A72" s="4"/>
      <c r="B72" s="4"/>
      <c r="C72" s="4"/>
      <c r="D72" s="4"/>
      <c r="E72" s="4"/>
      <c r="F72" s="4"/>
      <c r="G72" s="4"/>
      <c r="H72" s="4"/>
      <c r="I72" s="4"/>
      <c r="J72" s="4"/>
      <c r="K72" s="4"/>
      <c r="L72" s="4"/>
      <c r="M72" s="4"/>
      <c r="N72" s="4"/>
      <c r="O72" s="4"/>
      <c r="P72" s="4"/>
      <c r="Q72" s="4"/>
    </row>
    <row r="73" ht="13.5" customHeight="1">
      <c r="A73" s="4"/>
      <c r="B73" s="4"/>
      <c r="C73" s="4"/>
      <c r="D73" s="4"/>
      <c r="E73" s="4"/>
      <c r="F73" s="4"/>
      <c r="G73" s="4"/>
      <c r="H73" s="4"/>
      <c r="I73" s="4"/>
      <c r="J73" s="4"/>
      <c r="K73" s="4"/>
      <c r="L73" s="4"/>
      <c r="M73" s="4"/>
      <c r="N73" s="4"/>
      <c r="O73" s="4"/>
      <c r="P73" s="4"/>
      <c r="Q73" s="4"/>
    </row>
    <row r="74" ht="13.5" customHeight="1">
      <c r="A74" s="4"/>
      <c r="B74" s="4"/>
      <c r="C74" s="4"/>
      <c r="D74" s="4"/>
      <c r="E74" s="4"/>
      <c r="F74" s="4"/>
      <c r="G74" s="4"/>
      <c r="H74" s="4"/>
      <c r="I74" s="4"/>
      <c r="J74" s="4"/>
      <c r="K74" s="4"/>
      <c r="L74" s="4"/>
      <c r="M74" s="4"/>
      <c r="N74" s="4"/>
      <c r="O74" s="4"/>
      <c r="P74" s="4"/>
      <c r="Q74" s="4"/>
    </row>
    <row r="75" ht="13.5" customHeight="1">
      <c r="A75" s="4"/>
      <c r="B75" s="4"/>
      <c r="C75" s="4"/>
      <c r="D75" s="4"/>
      <c r="E75" s="4"/>
      <c r="F75" s="4"/>
      <c r="G75" s="4"/>
      <c r="H75" s="4"/>
      <c r="I75" s="4"/>
      <c r="J75" s="4"/>
      <c r="K75" s="4"/>
      <c r="L75" s="4"/>
      <c r="M75" s="4"/>
      <c r="N75" s="4"/>
      <c r="O75" s="4"/>
      <c r="P75" s="4"/>
      <c r="Q75" s="4"/>
    </row>
    <row r="76" ht="13.5" customHeight="1">
      <c r="A76" s="4"/>
      <c r="B76" s="4"/>
      <c r="C76" s="4"/>
      <c r="D76" s="4"/>
      <c r="E76" s="4"/>
      <c r="F76" s="4"/>
      <c r="G76" s="4"/>
      <c r="H76" s="4"/>
      <c r="I76" s="4"/>
      <c r="J76" s="4"/>
      <c r="K76" s="4"/>
      <c r="L76" s="4"/>
      <c r="M76" s="4"/>
      <c r="N76" s="4"/>
      <c r="O76" s="4"/>
      <c r="P76" s="4"/>
      <c r="Q76" s="4"/>
    </row>
    <row r="77" ht="13.5" customHeight="1">
      <c r="A77" s="4"/>
      <c r="B77" s="4"/>
      <c r="C77" s="4"/>
      <c r="D77" s="4"/>
      <c r="E77" s="4"/>
      <c r="F77" s="4"/>
      <c r="G77" s="4"/>
      <c r="H77" s="4"/>
      <c r="I77" s="4"/>
      <c r="J77" s="4"/>
      <c r="K77" s="4"/>
      <c r="L77" s="4"/>
      <c r="M77" s="4"/>
      <c r="N77" s="4"/>
      <c r="O77" s="4"/>
      <c r="P77" s="4"/>
      <c r="Q77" s="4"/>
    </row>
    <row r="78" ht="13.5" customHeight="1">
      <c r="A78" s="4"/>
      <c r="B78" s="4"/>
      <c r="C78" s="4"/>
      <c r="D78" s="4"/>
      <c r="E78" s="4"/>
      <c r="F78" s="4"/>
      <c r="G78" s="4"/>
      <c r="H78" s="4"/>
      <c r="I78" s="4"/>
      <c r="J78" s="4"/>
      <c r="K78" s="4"/>
      <c r="L78" s="4"/>
      <c r="M78" s="4"/>
      <c r="N78" s="4"/>
      <c r="O78" s="4"/>
      <c r="P78" s="4"/>
      <c r="Q78" s="4"/>
    </row>
    <row r="79" ht="13.5" customHeight="1">
      <c r="A79" s="4"/>
      <c r="B79" s="4"/>
      <c r="C79" s="4"/>
      <c r="D79" s="4"/>
      <c r="E79" s="4"/>
      <c r="F79" s="4"/>
      <c r="G79" s="4"/>
      <c r="H79" s="4"/>
      <c r="I79" s="4"/>
      <c r="J79" s="4"/>
      <c r="K79" s="4"/>
      <c r="L79" s="4"/>
      <c r="M79" s="4"/>
      <c r="N79" s="4"/>
      <c r="O79" s="4"/>
      <c r="P79" s="4"/>
      <c r="Q79" s="4"/>
    </row>
    <row r="80" ht="13.5" customHeight="1">
      <c r="A80" s="4"/>
      <c r="B80" s="4"/>
      <c r="C80" s="4"/>
      <c r="D80" s="4"/>
      <c r="E80" s="4"/>
      <c r="F80" s="4"/>
      <c r="G80" s="4"/>
      <c r="H80" s="4"/>
      <c r="I80" s="4"/>
      <c r="J80" s="4"/>
      <c r="K80" s="4"/>
      <c r="L80" s="4"/>
      <c r="M80" s="4"/>
      <c r="N80" s="4"/>
      <c r="O80" s="4"/>
      <c r="P80" s="4"/>
      <c r="Q80" s="4"/>
    </row>
    <row r="81" ht="13.5" customHeight="1">
      <c r="A81" s="4"/>
      <c r="B81" s="4"/>
      <c r="C81" s="4"/>
      <c r="D81" s="4"/>
      <c r="E81" s="4"/>
      <c r="F81" s="4"/>
      <c r="G81" s="4"/>
      <c r="H81" s="4"/>
      <c r="I81" s="4"/>
      <c r="J81" s="4"/>
      <c r="K81" s="4"/>
      <c r="L81" s="4"/>
      <c r="M81" s="4"/>
      <c r="N81" s="4"/>
      <c r="O81" s="4"/>
      <c r="P81" s="4"/>
      <c r="Q81" s="4"/>
    </row>
    <row r="82" ht="13.5" customHeight="1">
      <c r="A82" s="4"/>
      <c r="B82" s="4"/>
      <c r="C82" s="4"/>
      <c r="D82" s="4"/>
      <c r="E82" s="4"/>
      <c r="F82" s="4"/>
      <c r="G82" s="4"/>
      <c r="H82" s="4"/>
      <c r="I82" s="4"/>
      <c r="J82" s="4"/>
      <c r="K82" s="4"/>
      <c r="L82" s="4"/>
      <c r="M82" s="4"/>
      <c r="N82" s="4"/>
      <c r="O82" s="4"/>
      <c r="P82" s="4"/>
      <c r="Q82" s="4"/>
    </row>
    <row r="83" ht="13.5" customHeight="1">
      <c r="A83" s="4"/>
      <c r="B83" s="4"/>
      <c r="C83" s="4"/>
      <c r="D83" s="4"/>
      <c r="E83" s="4"/>
      <c r="F83" s="4"/>
      <c r="G83" s="4"/>
      <c r="H83" s="4"/>
      <c r="I83" s="4"/>
      <c r="J83" s="4"/>
      <c r="K83" s="4"/>
      <c r="L83" s="4"/>
      <c r="M83" s="4"/>
      <c r="N83" s="4"/>
      <c r="O83" s="4"/>
      <c r="P83" s="4"/>
      <c r="Q83" s="4"/>
    </row>
    <row r="84" ht="13.5" customHeight="1">
      <c r="A84" s="4"/>
      <c r="B84" s="4"/>
      <c r="C84" s="4"/>
      <c r="D84" s="4"/>
      <c r="E84" s="4"/>
      <c r="F84" s="4"/>
      <c r="G84" s="4"/>
      <c r="H84" s="4"/>
      <c r="I84" s="4"/>
      <c r="J84" s="4"/>
      <c r="K84" s="4"/>
      <c r="L84" s="4"/>
      <c r="M84" s="4"/>
      <c r="N84" s="4"/>
      <c r="O84" s="4"/>
      <c r="P84" s="4"/>
      <c r="Q84" s="4"/>
    </row>
    <row r="85" ht="13.5" customHeight="1">
      <c r="A85" s="4"/>
      <c r="B85" s="4"/>
      <c r="C85" s="4"/>
      <c r="D85" s="4"/>
      <c r="E85" s="4"/>
      <c r="F85" s="4"/>
      <c r="G85" s="4"/>
      <c r="H85" s="4"/>
      <c r="I85" s="4"/>
      <c r="J85" s="4"/>
      <c r="K85" s="4"/>
      <c r="L85" s="4"/>
      <c r="M85" s="4"/>
      <c r="N85" s="4"/>
      <c r="O85" s="4"/>
      <c r="P85" s="4"/>
      <c r="Q85" s="4"/>
    </row>
    <row r="86" ht="13.5" customHeight="1">
      <c r="A86" s="4"/>
      <c r="B86" s="4"/>
      <c r="C86" s="4"/>
      <c r="D86" s="4"/>
      <c r="E86" s="4"/>
      <c r="F86" s="4"/>
      <c r="G86" s="4"/>
      <c r="H86" s="4"/>
      <c r="I86" s="4"/>
      <c r="J86" s="4"/>
      <c r="K86" s="4"/>
      <c r="L86" s="4"/>
      <c r="M86" s="4"/>
      <c r="N86" s="4"/>
      <c r="O86" s="4"/>
      <c r="P86" s="4"/>
      <c r="Q86" s="4"/>
    </row>
    <row r="87" ht="13.5" customHeight="1">
      <c r="A87" s="4"/>
      <c r="B87" s="4"/>
      <c r="C87" s="4"/>
      <c r="D87" s="4"/>
      <c r="E87" s="4"/>
      <c r="F87" s="4"/>
      <c r="G87" s="4"/>
      <c r="H87" s="4"/>
      <c r="I87" s="4"/>
      <c r="J87" s="4"/>
      <c r="K87" s="4"/>
      <c r="L87" s="4"/>
      <c r="M87" s="4"/>
      <c r="N87" s="4"/>
      <c r="O87" s="4"/>
      <c r="P87" s="4"/>
      <c r="Q87" s="4"/>
    </row>
    <row r="88" ht="13.5" customHeight="1">
      <c r="A88" s="4"/>
      <c r="B88" s="4"/>
      <c r="C88" s="4"/>
      <c r="D88" s="4"/>
      <c r="E88" s="4"/>
      <c r="F88" s="4"/>
      <c r="G88" s="4"/>
      <c r="H88" s="4"/>
      <c r="I88" s="4"/>
      <c r="J88" s="4"/>
      <c r="K88" s="4"/>
      <c r="L88" s="4"/>
      <c r="M88" s="4"/>
      <c r="N88" s="4"/>
      <c r="O88" s="4"/>
      <c r="P88" s="4"/>
      <c r="Q88" s="4"/>
    </row>
    <row r="89" ht="13.5" customHeight="1">
      <c r="A89" s="4"/>
      <c r="B89" s="4"/>
      <c r="C89" s="4"/>
      <c r="D89" s="4"/>
      <c r="E89" s="4"/>
      <c r="F89" s="4"/>
      <c r="G89" s="4"/>
      <c r="H89" s="4"/>
      <c r="I89" s="4"/>
      <c r="J89" s="4"/>
      <c r="K89" s="4"/>
      <c r="L89" s="4"/>
      <c r="M89" s="4"/>
      <c r="N89" s="4"/>
      <c r="O89" s="4"/>
      <c r="P89" s="4"/>
      <c r="Q89" s="4"/>
    </row>
    <row r="90" ht="13.5" customHeight="1">
      <c r="A90" s="4"/>
      <c r="B90" s="4"/>
      <c r="C90" s="4"/>
      <c r="D90" s="4"/>
      <c r="E90" s="4"/>
      <c r="F90" s="4"/>
      <c r="G90" s="4"/>
      <c r="H90" s="4"/>
      <c r="I90" s="4"/>
      <c r="J90" s="4"/>
      <c r="K90" s="4"/>
      <c r="L90" s="4"/>
      <c r="M90" s="4"/>
      <c r="N90" s="4"/>
      <c r="O90" s="4"/>
      <c r="P90" s="4"/>
      <c r="Q90" s="4"/>
    </row>
    <row r="91" ht="13.5" customHeight="1">
      <c r="A91" s="4"/>
      <c r="B91" s="4"/>
      <c r="C91" s="4"/>
      <c r="D91" s="4"/>
      <c r="E91" s="4"/>
      <c r="F91" s="4"/>
      <c r="G91" s="4"/>
      <c r="H91" s="4"/>
      <c r="I91" s="4"/>
      <c r="J91" s="4"/>
      <c r="K91" s="4"/>
      <c r="L91" s="4"/>
      <c r="M91" s="4"/>
      <c r="N91" s="4"/>
      <c r="O91" s="4"/>
      <c r="P91" s="4"/>
      <c r="Q91" s="4"/>
    </row>
    <row r="92" ht="13.5" customHeight="1">
      <c r="A92" s="4"/>
      <c r="B92" s="4"/>
      <c r="C92" s="4"/>
      <c r="D92" s="4"/>
      <c r="E92" s="4"/>
      <c r="F92" s="4"/>
      <c r="G92" s="4"/>
      <c r="H92" s="4"/>
      <c r="I92" s="4"/>
      <c r="J92" s="4"/>
      <c r="K92" s="4"/>
      <c r="L92" s="4"/>
      <c r="M92" s="4"/>
      <c r="N92" s="4"/>
      <c r="O92" s="4"/>
      <c r="P92" s="4"/>
      <c r="Q92" s="4"/>
    </row>
    <row r="93" ht="13.5" customHeight="1">
      <c r="A93" s="4"/>
      <c r="B93" s="4"/>
      <c r="C93" s="4"/>
      <c r="D93" s="4"/>
      <c r="E93" s="4"/>
      <c r="F93" s="4"/>
      <c r="G93" s="4"/>
      <c r="H93" s="4"/>
      <c r="I93" s="4"/>
      <c r="J93" s="4"/>
      <c r="K93" s="4"/>
      <c r="L93" s="4"/>
      <c r="M93" s="4"/>
      <c r="N93" s="4"/>
      <c r="O93" s="4"/>
      <c r="P93" s="4"/>
      <c r="Q93" s="4"/>
    </row>
    <row r="94" ht="13.5" customHeight="1">
      <c r="A94" s="4"/>
      <c r="B94" s="4"/>
      <c r="C94" s="4"/>
      <c r="D94" s="4"/>
      <c r="E94" s="4"/>
      <c r="F94" s="4"/>
      <c r="G94" s="4"/>
      <c r="H94" s="4"/>
      <c r="I94" s="4"/>
      <c r="J94" s="4"/>
      <c r="K94" s="4"/>
      <c r="L94" s="4"/>
      <c r="M94" s="4"/>
      <c r="N94" s="4"/>
      <c r="O94" s="4"/>
      <c r="P94" s="4"/>
      <c r="Q94" s="4"/>
    </row>
    <row r="95" ht="13.5" customHeight="1">
      <c r="A95" s="4"/>
      <c r="B95" s="4"/>
      <c r="C95" s="4"/>
      <c r="D95" s="4"/>
      <c r="E95" s="4"/>
      <c r="F95" s="4"/>
      <c r="G95" s="4"/>
      <c r="H95" s="4"/>
      <c r="I95" s="4"/>
      <c r="J95" s="4"/>
      <c r="K95" s="4"/>
      <c r="L95" s="4"/>
      <c r="M95" s="4"/>
      <c r="N95" s="4"/>
      <c r="O95" s="4"/>
      <c r="P95" s="4"/>
      <c r="Q95" s="4"/>
    </row>
    <row r="96" ht="13.5" customHeight="1">
      <c r="A96" s="4"/>
      <c r="B96" s="4"/>
      <c r="C96" s="4"/>
      <c r="D96" s="4"/>
      <c r="E96" s="4"/>
      <c r="F96" s="4"/>
      <c r="G96" s="4"/>
      <c r="H96" s="4"/>
      <c r="I96" s="4"/>
      <c r="J96" s="4"/>
      <c r="K96" s="4"/>
      <c r="L96" s="4"/>
      <c r="M96" s="4"/>
      <c r="N96" s="4"/>
      <c r="O96" s="4"/>
      <c r="P96" s="4"/>
      <c r="Q96" s="4"/>
    </row>
    <row r="97" ht="13.5" customHeight="1">
      <c r="A97" s="4"/>
      <c r="B97" s="4"/>
      <c r="C97" s="4"/>
      <c r="D97" s="4"/>
      <c r="E97" s="4"/>
      <c r="F97" s="4"/>
      <c r="G97" s="4"/>
      <c r="H97" s="4"/>
      <c r="I97" s="4"/>
      <c r="J97" s="4"/>
      <c r="K97" s="4"/>
      <c r="L97" s="4"/>
      <c r="M97" s="4"/>
      <c r="N97" s="4"/>
      <c r="O97" s="4"/>
      <c r="P97" s="4"/>
      <c r="Q97" s="4"/>
    </row>
    <row r="98" ht="13.5" customHeight="1">
      <c r="A98" s="4"/>
      <c r="B98" s="4"/>
      <c r="C98" s="4"/>
      <c r="D98" s="4"/>
      <c r="E98" s="4"/>
      <c r="F98" s="4"/>
      <c r="G98" s="4"/>
      <c r="H98" s="4"/>
      <c r="I98" s="4"/>
      <c r="J98" s="4"/>
      <c r="K98" s="4"/>
      <c r="L98" s="4"/>
      <c r="M98" s="4"/>
      <c r="N98" s="4"/>
      <c r="O98" s="4"/>
      <c r="P98" s="4"/>
      <c r="Q98" s="4"/>
    </row>
    <row r="99" ht="13.5" customHeight="1">
      <c r="A99" s="4"/>
      <c r="B99" s="4"/>
      <c r="C99" s="4"/>
      <c r="D99" s="4"/>
      <c r="E99" s="4"/>
      <c r="F99" s="4"/>
      <c r="G99" s="4"/>
      <c r="H99" s="4"/>
      <c r="I99" s="4"/>
      <c r="J99" s="4"/>
      <c r="K99" s="4"/>
      <c r="L99" s="4"/>
      <c r="M99" s="4"/>
      <c r="N99" s="4"/>
      <c r="O99" s="4"/>
      <c r="P99" s="4"/>
      <c r="Q99" s="4"/>
    </row>
    <row r="100" ht="13.5" customHeight="1">
      <c r="A100" s="4"/>
      <c r="B100" s="4"/>
      <c r="C100" s="4"/>
      <c r="D100" s="4"/>
      <c r="E100" s="4"/>
      <c r="F100" s="4"/>
      <c r="G100" s="4"/>
      <c r="H100" s="4"/>
      <c r="I100" s="4"/>
      <c r="J100" s="4"/>
      <c r="K100" s="4"/>
      <c r="L100" s="4"/>
      <c r="M100" s="4"/>
      <c r="N100" s="4"/>
      <c r="O100" s="4"/>
      <c r="P100" s="4"/>
      <c r="Q100" s="4"/>
    </row>
    <row r="101" ht="13.5" customHeight="1">
      <c r="A101" s="4"/>
      <c r="B101" s="4"/>
      <c r="C101" s="4"/>
      <c r="D101" s="4"/>
      <c r="E101" s="4"/>
      <c r="F101" s="4"/>
      <c r="G101" s="4"/>
      <c r="H101" s="4"/>
      <c r="I101" s="4"/>
      <c r="J101" s="4"/>
      <c r="K101" s="4"/>
      <c r="L101" s="4"/>
      <c r="M101" s="4"/>
      <c r="N101" s="4"/>
      <c r="O101" s="4"/>
      <c r="P101" s="4"/>
      <c r="Q101" s="4"/>
    </row>
    <row r="102" ht="13.5" customHeight="1">
      <c r="A102" s="4"/>
      <c r="B102" s="4"/>
      <c r="C102" s="4"/>
      <c r="D102" s="4"/>
      <c r="E102" s="4"/>
      <c r="F102" s="4"/>
      <c r="G102" s="4"/>
      <c r="H102" s="4"/>
      <c r="I102" s="4"/>
      <c r="J102" s="4"/>
      <c r="K102" s="4"/>
      <c r="L102" s="4"/>
      <c r="M102" s="4"/>
      <c r="N102" s="4"/>
      <c r="O102" s="4"/>
      <c r="P102" s="4"/>
      <c r="Q102" s="4"/>
    </row>
    <row r="103" ht="13.5" customHeight="1">
      <c r="A103" s="4"/>
      <c r="B103" s="4"/>
      <c r="C103" s="4"/>
      <c r="D103" s="4"/>
      <c r="E103" s="4"/>
      <c r="F103" s="4"/>
      <c r="G103" s="4"/>
      <c r="H103" s="4"/>
      <c r="I103" s="4"/>
      <c r="J103" s="4"/>
      <c r="K103" s="4"/>
      <c r="L103" s="4"/>
      <c r="M103" s="4"/>
      <c r="N103" s="4"/>
      <c r="O103" s="4"/>
      <c r="P103" s="4"/>
      <c r="Q103" s="4"/>
    </row>
    <row r="104" ht="13.5" customHeight="1">
      <c r="A104" s="4"/>
      <c r="B104" s="4"/>
      <c r="C104" s="4"/>
      <c r="D104" s="4"/>
      <c r="E104" s="4"/>
      <c r="F104" s="4"/>
      <c r="G104" s="4"/>
      <c r="H104" s="4"/>
      <c r="I104" s="4"/>
      <c r="J104" s="4"/>
      <c r="K104" s="4"/>
      <c r="L104" s="4"/>
      <c r="M104" s="4"/>
      <c r="N104" s="4"/>
      <c r="O104" s="4"/>
      <c r="P104" s="4"/>
      <c r="Q104" s="4"/>
    </row>
    <row r="105" ht="13.5" customHeight="1">
      <c r="A105" s="4"/>
      <c r="B105" s="4"/>
      <c r="C105" s="4"/>
      <c r="D105" s="4"/>
      <c r="E105" s="4"/>
      <c r="F105" s="4"/>
      <c r="G105" s="4"/>
      <c r="H105" s="4"/>
      <c r="I105" s="4"/>
      <c r="J105" s="4"/>
      <c r="K105" s="4"/>
      <c r="L105" s="4"/>
      <c r="M105" s="4"/>
      <c r="N105" s="4"/>
      <c r="O105" s="4"/>
      <c r="P105" s="4"/>
      <c r="Q105" s="4"/>
    </row>
    <row r="106" ht="13.5" customHeight="1">
      <c r="A106" s="4"/>
      <c r="B106" s="4"/>
      <c r="C106" s="4"/>
      <c r="D106" s="4"/>
      <c r="E106" s="4"/>
      <c r="F106" s="4"/>
      <c r="G106" s="4"/>
      <c r="H106" s="4"/>
      <c r="I106" s="4"/>
      <c r="J106" s="4"/>
      <c r="K106" s="4"/>
      <c r="L106" s="4"/>
      <c r="M106" s="4"/>
      <c r="N106" s="4"/>
      <c r="O106" s="4"/>
      <c r="P106" s="4"/>
      <c r="Q106" s="4"/>
    </row>
    <row r="107" ht="13.5" customHeight="1">
      <c r="A107" s="4"/>
      <c r="B107" s="4"/>
      <c r="C107" s="4"/>
      <c r="D107" s="4"/>
      <c r="E107" s="4"/>
      <c r="F107" s="4"/>
      <c r="G107" s="4"/>
      <c r="H107" s="4"/>
      <c r="I107" s="4"/>
      <c r="J107" s="4"/>
      <c r="K107" s="4"/>
      <c r="L107" s="4"/>
      <c r="M107" s="4"/>
      <c r="N107" s="4"/>
      <c r="O107" s="4"/>
      <c r="P107" s="4"/>
      <c r="Q107" s="4"/>
    </row>
    <row r="108" ht="13.5" customHeight="1">
      <c r="A108" s="4"/>
      <c r="B108" s="4"/>
      <c r="C108" s="4"/>
      <c r="D108" s="4"/>
      <c r="E108" s="4"/>
      <c r="F108" s="4"/>
      <c r="G108" s="4"/>
      <c r="H108" s="4"/>
      <c r="I108" s="4"/>
      <c r="J108" s="4"/>
      <c r="K108" s="4"/>
      <c r="L108" s="4"/>
      <c r="M108" s="4"/>
      <c r="N108" s="4"/>
      <c r="O108" s="4"/>
      <c r="P108" s="4"/>
      <c r="Q108" s="4"/>
    </row>
    <row r="109" ht="13.5" customHeight="1">
      <c r="A109" s="4"/>
      <c r="B109" s="4"/>
      <c r="C109" s="4"/>
      <c r="D109" s="4"/>
      <c r="E109" s="4"/>
      <c r="F109" s="4"/>
      <c r="G109" s="4"/>
      <c r="H109" s="4"/>
      <c r="I109" s="4"/>
      <c r="J109" s="4"/>
      <c r="K109" s="4"/>
      <c r="L109" s="4"/>
      <c r="M109" s="4"/>
      <c r="N109" s="4"/>
      <c r="O109" s="4"/>
      <c r="P109" s="4"/>
      <c r="Q109" s="4"/>
    </row>
    <row r="110" ht="13.5" customHeight="1">
      <c r="A110" s="4"/>
      <c r="B110" s="4"/>
      <c r="C110" s="4"/>
      <c r="D110" s="4"/>
      <c r="E110" s="4"/>
      <c r="F110" s="4"/>
      <c r="G110" s="4"/>
      <c r="H110" s="4"/>
      <c r="I110" s="4"/>
      <c r="J110" s="4"/>
      <c r="K110" s="4"/>
      <c r="L110" s="4"/>
      <c r="M110" s="4"/>
      <c r="N110" s="4"/>
      <c r="O110" s="4"/>
      <c r="P110" s="4"/>
      <c r="Q110" s="4"/>
    </row>
    <row r="111" ht="13.5" customHeight="1">
      <c r="A111" s="4"/>
      <c r="B111" s="4"/>
      <c r="C111" s="4"/>
      <c r="D111" s="4"/>
      <c r="E111" s="4"/>
      <c r="F111" s="4"/>
      <c r="G111" s="4"/>
      <c r="H111" s="4"/>
      <c r="I111" s="4"/>
      <c r="J111" s="4"/>
      <c r="K111" s="4"/>
      <c r="L111" s="4"/>
      <c r="M111" s="4"/>
      <c r="N111" s="4"/>
      <c r="O111" s="4"/>
      <c r="P111" s="4"/>
      <c r="Q111" s="4"/>
    </row>
    <row r="112" ht="13.5" customHeight="1">
      <c r="A112" s="4"/>
      <c r="B112" s="4"/>
      <c r="C112" s="4"/>
      <c r="D112" s="4"/>
      <c r="E112" s="4"/>
      <c r="F112" s="4"/>
      <c r="G112" s="4"/>
      <c r="H112" s="4"/>
      <c r="I112" s="4"/>
      <c r="J112" s="4"/>
      <c r="K112" s="4"/>
      <c r="L112" s="4"/>
      <c r="M112" s="4"/>
      <c r="N112" s="4"/>
      <c r="O112" s="4"/>
      <c r="P112" s="4"/>
      <c r="Q112" s="4"/>
    </row>
    <row r="113" ht="13.5" customHeight="1">
      <c r="A113" s="4"/>
      <c r="B113" s="4"/>
      <c r="C113" s="4"/>
      <c r="D113" s="4"/>
      <c r="E113" s="4"/>
      <c r="F113" s="4"/>
      <c r="G113" s="4"/>
      <c r="H113" s="4"/>
      <c r="I113" s="4"/>
      <c r="J113" s="4"/>
      <c r="K113" s="4"/>
      <c r="L113" s="4"/>
      <c r="M113" s="4"/>
      <c r="N113" s="4"/>
      <c r="O113" s="4"/>
      <c r="P113" s="4"/>
      <c r="Q113" s="4"/>
    </row>
    <row r="114" ht="13.5" customHeight="1">
      <c r="A114" s="4"/>
      <c r="B114" s="4"/>
      <c r="C114" s="4"/>
      <c r="D114" s="4"/>
      <c r="E114" s="4"/>
      <c r="F114" s="4"/>
      <c r="G114" s="4"/>
      <c r="H114" s="4"/>
      <c r="I114" s="4"/>
      <c r="J114" s="4"/>
      <c r="K114" s="4"/>
      <c r="L114" s="4"/>
      <c r="M114" s="4"/>
      <c r="N114" s="4"/>
      <c r="O114" s="4"/>
      <c r="P114" s="4"/>
      <c r="Q114" s="4"/>
    </row>
    <row r="115" ht="13.5" customHeight="1">
      <c r="A115" s="4"/>
      <c r="B115" s="4"/>
      <c r="C115" s="4"/>
      <c r="D115" s="4"/>
      <c r="E115" s="4"/>
      <c r="F115" s="4"/>
      <c r="G115" s="4"/>
      <c r="H115" s="4"/>
      <c r="I115" s="4"/>
      <c r="J115" s="4"/>
      <c r="K115" s="4"/>
      <c r="L115" s="4"/>
      <c r="M115" s="4"/>
      <c r="N115" s="4"/>
      <c r="O115" s="4"/>
      <c r="P115" s="4"/>
      <c r="Q115" s="4"/>
    </row>
    <row r="116" ht="13.5" customHeight="1">
      <c r="A116" s="4"/>
      <c r="B116" s="4"/>
      <c r="C116" s="4"/>
      <c r="D116" s="4"/>
      <c r="E116" s="4"/>
      <c r="F116" s="4"/>
      <c r="G116" s="4"/>
      <c r="H116" s="4"/>
      <c r="I116" s="4"/>
      <c r="J116" s="4"/>
      <c r="K116" s="4"/>
      <c r="L116" s="4"/>
      <c r="M116" s="4"/>
      <c r="N116" s="4"/>
      <c r="O116" s="4"/>
      <c r="P116" s="4"/>
      <c r="Q116" s="4"/>
    </row>
    <row r="117" ht="13.5" customHeight="1">
      <c r="A117" s="4"/>
      <c r="B117" s="4"/>
      <c r="C117" s="4"/>
      <c r="D117" s="4"/>
      <c r="E117" s="4"/>
      <c r="F117" s="4"/>
      <c r="G117" s="4"/>
      <c r="H117" s="4"/>
      <c r="I117" s="4"/>
      <c r="J117" s="4"/>
      <c r="K117" s="4"/>
      <c r="L117" s="4"/>
      <c r="M117" s="4"/>
      <c r="N117" s="4"/>
      <c r="O117" s="4"/>
      <c r="P117" s="4"/>
      <c r="Q117" s="4"/>
    </row>
    <row r="118" ht="13.5" customHeight="1">
      <c r="A118" s="4"/>
      <c r="B118" s="4"/>
      <c r="C118" s="4"/>
      <c r="D118" s="4"/>
      <c r="E118" s="4"/>
      <c r="F118" s="4"/>
      <c r="G118" s="4"/>
      <c r="H118" s="4"/>
      <c r="I118" s="4"/>
      <c r="J118" s="4"/>
      <c r="K118" s="4"/>
      <c r="L118" s="4"/>
      <c r="M118" s="4"/>
      <c r="N118" s="4"/>
      <c r="O118" s="4"/>
      <c r="P118" s="4"/>
      <c r="Q118" s="4"/>
    </row>
    <row r="119" ht="13.5" customHeight="1">
      <c r="A119" s="4"/>
      <c r="B119" s="4"/>
      <c r="C119" s="4"/>
      <c r="D119" s="4"/>
      <c r="E119" s="4"/>
      <c r="F119" s="4"/>
      <c r="G119" s="4"/>
      <c r="H119" s="4"/>
      <c r="I119" s="4"/>
      <c r="J119" s="4"/>
      <c r="K119" s="4"/>
      <c r="L119" s="4"/>
      <c r="M119" s="4"/>
      <c r="N119" s="4"/>
      <c r="O119" s="4"/>
      <c r="P119" s="4"/>
      <c r="Q119" s="4"/>
    </row>
    <row r="120" ht="13.5" customHeight="1">
      <c r="A120" s="4"/>
      <c r="B120" s="4"/>
      <c r="C120" s="4"/>
      <c r="D120" s="4"/>
      <c r="E120" s="4"/>
      <c r="F120" s="4"/>
      <c r="G120" s="4"/>
      <c r="H120" s="4"/>
      <c r="I120" s="4"/>
      <c r="J120" s="4"/>
      <c r="K120" s="4"/>
      <c r="L120" s="4"/>
      <c r="M120" s="4"/>
      <c r="N120" s="4"/>
      <c r="O120" s="4"/>
      <c r="P120" s="4"/>
      <c r="Q120" s="4"/>
    </row>
    <row r="121" ht="13.5" customHeight="1">
      <c r="A121" s="4"/>
      <c r="B121" s="4"/>
      <c r="C121" s="4"/>
      <c r="D121" s="4"/>
      <c r="E121" s="4"/>
      <c r="F121" s="4"/>
      <c r="G121" s="4"/>
      <c r="H121" s="4"/>
      <c r="I121" s="4"/>
      <c r="J121" s="4"/>
      <c r="K121" s="4"/>
      <c r="L121" s="4"/>
      <c r="M121" s="4"/>
      <c r="N121" s="4"/>
      <c r="O121" s="4"/>
      <c r="P121" s="4"/>
      <c r="Q121" s="4"/>
    </row>
    <row r="122" ht="13.5" customHeight="1">
      <c r="A122" s="4"/>
      <c r="B122" s="4"/>
      <c r="C122" s="4"/>
      <c r="D122" s="4"/>
      <c r="E122" s="4"/>
      <c r="F122" s="4"/>
      <c r="G122" s="4"/>
      <c r="H122" s="4"/>
      <c r="I122" s="4"/>
      <c r="J122" s="4"/>
      <c r="K122" s="4"/>
      <c r="L122" s="4"/>
      <c r="M122" s="4"/>
      <c r="N122" s="4"/>
      <c r="O122" s="4"/>
      <c r="P122" s="4"/>
      <c r="Q122" s="4"/>
    </row>
    <row r="123" ht="13.5" customHeight="1">
      <c r="A123" s="4"/>
      <c r="B123" s="4"/>
      <c r="C123" s="4"/>
      <c r="D123" s="4"/>
      <c r="E123" s="4"/>
      <c r="F123" s="4"/>
      <c r="G123" s="4"/>
      <c r="H123" s="4"/>
      <c r="I123" s="4"/>
      <c r="J123" s="4"/>
      <c r="K123" s="4"/>
      <c r="L123" s="4"/>
      <c r="M123" s="4"/>
      <c r="N123" s="4"/>
      <c r="O123" s="4"/>
      <c r="P123" s="4"/>
      <c r="Q123" s="4"/>
    </row>
    <row r="124" ht="13.5" customHeight="1">
      <c r="A124" s="4"/>
      <c r="B124" s="4"/>
      <c r="C124" s="4"/>
      <c r="D124" s="4"/>
      <c r="E124" s="4"/>
      <c r="F124" s="4"/>
      <c r="G124" s="4"/>
      <c r="H124" s="4"/>
      <c r="I124" s="4"/>
      <c r="J124" s="4"/>
      <c r="K124" s="4"/>
      <c r="L124" s="4"/>
      <c r="M124" s="4"/>
      <c r="N124" s="4"/>
      <c r="O124" s="4"/>
      <c r="P124" s="4"/>
      <c r="Q124" s="4"/>
    </row>
    <row r="125" ht="13.5" customHeight="1">
      <c r="A125" s="4"/>
      <c r="B125" s="4"/>
      <c r="C125" s="4"/>
      <c r="D125" s="4"/>
      <c r="E125" s="4"/>
      <c r="F125" s="4"/>
      <c r="G125" s="4"/>
      <c r="H125" s="4"/>
      <c r="I125" s="4"/>
      <c r="J125" s="4"/>
      <c r="K125" s="4"/>
      <c r="L125" s="4"/>
      <c r="M125" s="4"/>
      <c r="N125" s="4"/>
      <c r="O125" s="4"/>
      <c r="P125" s="4"/>
      <c r="Q125" s="4"/>
    </row>
    <row r="126" ht="13.5" customHeight="1">
      <c r="A126" s="4"/>
      <c r="B126" s="4"/>
      <c r="C126" s="4"/>
      <c r="D126" s="4"/>
      <c r="E126" s="4"/>
      <c r="F126" s="4"/>
      <c r="G126" s="4"/>
      <c r="H126" s="4"/>
      <c r="I126" s="4"/>
      <c r="J126" s="4"/>
      <c r="K126" s="4"/>
      <c r="L126" s="4"/>
      <c r="M126" s="4"/>
      <c r="N126" s="4"/>
      <c r="O126" s="4"/>
      <c r="P126" s="4"/>
      <c r="Q126" s="4"/>
    </row>
    <row r="127" ht="13.5" customHeight="1">
      <c r="A127" s="4"/>
      <c r="B127" s="4"/>
      <c r="C127" s="4"/>
      <c r="D127" s="4"/>
      <c r="E127" s="4"/>
      <c r="F127" s="4"/>
      <c r="G127" s="4"/>
      <c r="H127" s="4"/>
      <c r="I127" s="4"/>
      <c r="J127" s="4"/>
      <c r="K127" s="4"/>
      <c r="L127" s="4"/>
      <c r="M127" s="4"/>
      <c r="N127" s="4"/>
      <c r="O127" s="4"/>
      <c r="P127" s="4"/>
      <c r="Q127" s="4"/>
    </row>
    <row r="128" ht="13.5" customHeight="1">
      <c r="A128" s="4"/>
      <c r="B128" s="4"/>
      <c r="C128" s="4"/>
      <c r="D128" s="4"/>
      <c r="E128" s="4"/>
      <c r="F128" s="4"/>
      <c r="G128" s="4"/>
      <c r="H128" s="4"/>
      <c r="I128" s="4"/>
      <c r="J128" s="4"/>
      <c r="K128" s="4"/>
      <c r="L128" s="4"/>
      <c r="M128" s="4"/>
      <c r="N128" s="4"/>
      <c r="O128" s="4"/>
      <c r="P128" s="4"/>
      <c r="Q128" s="4"/>
    </row>
    <row r="129" ht="13.5" customHeight="1">
      <c r="A129" s="4"/>
      <c r="B129" s="4"/>
      <c r="C129" s="4"/>
      <c r="D129" s="4"/>
      <c r="E129" s="4"/>
      <c r="F129" s="4"/>
      <c r="G129" s="4"/>
      <c r="H129" s="4"/>
      <c r="I129" s="4"/>
      <c r="J129" s="4"/>
      <c r="K129" s="4"/>
      <c r="L129" s="4"/>
      <c r="M129" s="4"/>
      <c r="N129" s="4"/>
      <c r="O129" s="4"/>
      <c r="P129" s="4"/>
      <c r="Q129" s="4"/>
    </row>
    <row r="130" ht="13.5" customHeight="1">
      <c r="A130" s="4"/>
      <c r="B130" s="4"/>
      <c r="C130" s="4"/>
      <c r="D130" s="4"/>
      <c r="E130" s="4"/>
      <c r="F130" s="4"/>
      <c r="G130" s="4"/>
      <c r="H130" s="4"/>
      <c r="I130" s="4"/>
      <c r="J130" s="4"/>
      <c r="K130" s="4"/>
      <c r="L130" s="4"/>
      <c r="M130" s="4"/>
      <c r="N130" s="4"/>
      <c r="O130" s="4"/>
      <c r="P130" s="4"/>
      <c r="Q130" s="4"/>
    </row>
    <row r="131" ht="13.5" customHeight="1">
      <c r="A131" s="4"/>
      <c r="B131" s="4"/>
      <c r="C131" s="4"/>
      <c r="D131" s="4"/>
      <c r="E131" s="4"/>
      <c r="F131" s="4"/>
      <c r="G131" s="4"/>
      <c r="H131" s="4"/>
      <c r="I131" s="4"/>
      <c r="J131" s="4"/>
      <c r="K131" s="4"/>
      <c r="L131" s="4"/>
      <c r="M131" s="4"/>
      <c r="N131" s="4"/>
      <c r="O131" s="4"/>
      <c r="P131" s="4"/>
      <c r="Q131" s="4"/>
    </row>
    <row r="132" ht="13.5" customHeight="1">
      <c r="A132" s="4"/>
      <c r="B132" s="4"/>
      <c r="C132" s="4"/>
      <c r="D132" s="4"/>
      <c r="E132" s="4"/>
      <c r="F132" s="4"/>
      <c r="G132" s="4"/>
      <c r="H132" s="4"/>
      <c r="I132" s="4"/>
      <c r="J132" s="4"/>
      <c r="K132" s="4"/>
      <c r="L132" s="4"/>
      <c r="M132" s="4"/>
      <c r="N132" s="4"/>
      <c r="O132" s="4"/>
      <c r="P132" s="4"/>
      <c r="Q132" s="4"/>
    </row>
    <row r="133" ht="13.5" customHeight="1">
      <c r="A133" s="4"/>
      <c r="B133" s="4"/>
      <c r="C133" s="4"/>
      <c r="D133" s="4"/>
      <c r="E133" s="4"/>
      <c r="F133" s="4"/>
      <c r="G133" s="4"/>
      <c r="H133" s="4"/>
      <c r="I133" s="4"/>
      <c r="J133" s="4"/>
      <c r="K133" s="4"/>
      <c r="L133" s="4"/>
      <c r="M133" s="4"/>
      <c r="N133" s="4"/>
      <c r="O133" s="4"/>
      <c r="P133" s="4"/>
      <c r="Q133" s="4"/>
    </row>
    <row r="134" ht="13.5" customHeight="1">
      <c r="A134" s="4"/>
      <c r="B134" s="4"/>
      <c r="C134" s="4"/>
      <c r="D134" s="4"/>
      <c r="E134" s="4"/>
      <c r="F134" s="4"/>
      <c r="G134" s="4"/>
      <c r="H134" s="4"/>
      <c r="I134" s="4"/>
      <c r="J134" s="4"/>
      <c r="K134" s="4"/>
      <c r="L134" s="4"/>
      <c r="M134" s="4"/>
      <c r="N134" s="4"/>
      <c r="O134" s="4"/>
      <c r="P134" s="4"/>
      <c r="Q134" s="4"/>
    </row>
    <row r="135" ht="13.5" customHeight="1">
      <c r="A135" s="4"/>
      <c r="B135" s="4"/>
      <c r="C135" s="4"/>
      <c r="D135" s="4"/>
      <c r="E135" s="4"/>
      <c r="F135" s="4"/>
      <c r="G135" s="4"/>
      <c r="H135" s="4"/>
      <c r="I135" s="4"/>
      <c r="J135" s="4"/>
      <c r="K135" s="4"/>
      <c r="L135" s="4"/>
      <c r="M135" s="4"/>
      <c r="N135" s="4"/>
      <c r="O135" s="4"/>
      <c r="P135" s="4"/>
      <c r="Q135" s="4"/>
    </row>
    <row r="136" ht="13.5" customHeight="1">
      <c r="A136" s="4"/>
      <c r="B136" s="4"/>
      <c r="C136" s="4"/>
      <c r="D136" s="4"/>
      <c r="E136" s="4"/>
      <c r="F136" s="4"/>
      <c r="G136" s="4"/>
      <c r="H136" s="4"/>
      <c r="I136" s="4"/>
      <c r="J136" s="4"/>
      <c r="K136" s="4"/>
      <c r="L136" s="4"/>
      <c r="M136" s="4"/>
      <c r="N136" s="4"/>
      <c r="O136" s="4"/>
      <c r="P136" s="4"/>
      <c r="Q136" s="4"/>
    </row>
    <row r="137" ht="13.5" customHeight="1">
      <c r="A137" s="4"/>
      <c r="B137" s="4"/>
      <c r="C137" s="4"/>
      <c r="D137" s="4"/>
      <c r="E137" s="4"/>
      <c r="F137" s="4"/>
      <c r="G137" s="4"/>
      <c r="H137" s="4"/>
      <c r="I137" s="4"/>
      <c r="J137" s="4"/>
      <c r="K137" s="4"/>
      <c r="L137" s="4"/>
      <c r="M137" s="4"/>
      <c r="N137" s="4"/>
      <c r="O137" s="4"/>
      <c r="P137" s="4"/>
      <c r="Q137" s="4"/>
    </row>
    <row r="138" ht="13.5" customHeight="1">
      <c r="A138" s="4"/>
      <c r="B138" s="4"/>
      <c r="C138" s="4"/>
      <c r="D138" s="4"/>
      <c r="E138" s="4"/>
      <c r="F138" s="4"/>
      <c r="G138" s="4"/>
      <c r="H138" s="4"/>
      <c r="I138" s="4"/>
      <c r="J138" s="4"/>
      <c r="K138" s="4"/>
      <c r="L138" s="4"/>
      <c r="M138" s="4"/>
      <c r="N138" s="4"/>
      <c r="O138" s="4"/>
      <c r="P138" s="4"/>
      <c r="Q138" s="4"/>
    </row>
    <row r="139" ht="13.5" customHeight="1">
      <c r="A139" s="4"/>
      <c r="B139" s="4"/>
      <c r="C139" s="4"/>
      <c r="D139" s="4"/>
      <c r="E139" s="4"/>
      <c r="F139" s="4"/>
      <c r="G139" s="4"/>
      <c r="H139" s="4"/>
      <c r="I139" s="4"/>
      <c r="J139" s="4"/>
      <c r="K139" s="4"/>
      <c r="L139" s="4"/>
      <c r="M139" s="4"/>
      <c r="N139" s="4"/>
      <c r="O139" s="4"/>
      <c r="P139" s="4"/>
      <c r="Q139" s="4"/>
    </row>
    <row r="140" ht="13.5" customHeight="1">
      <c r="A140" s="4"/>
      <c r="B140" s="4"/>
      <c r="C140" s="4"/>
      <c r="D140" s="4"/>
      <c r="E140" s="4"/>
      <c r="F140" s="4"/>
      <c r="G140" s="4"/>
      <c r="H140" s="4"/>
      <c r="I140" s="4"/>
      <c r="J140" s="4"/>
      <c r="K140" s="4"/>
      <c r="L140" s="4"/>
      <c r="M140" s="4"/>
      <c r="N140" s="4"/>
      <c r="O140" s="4"/>
      <c r="P140" s="4"/>
      <c r="Q140" s="4"/>
    </row>
    <row r="141" ht="13.5" customHeight="1">
      <c r="A141" s="4"/>
      <c r="B141" s="4"/>
      <c r="C141" s="4"/>
      <c r="D141" s="4"/>
      <c r="E141" s="4"/>
      <c r="F141" s="4"/>
      <c r="G141" s="4"/>
      <c r="H141" s="4"/>
      <c r="I141" s="4"/>
      <c r="J141" s="4"/>
      <c r="K141" s="4"/>
      <c r="L141" s="4"/>
      <c r="M141" s="4"/>
      <c r="N141" s="4"/>
      <c r="O141" s="4"/>
      <c r="P141" s="4"/>
      <c r="Q141" s="4"/>
    </row>
    <row r="142" ht="13.5" customHeight="1">
      <c r="A142" s="4"/>
      <c r="B142" s="4"/>
      <c r="C142" s="4"/>
      <c r="D142" s="4"/>
      <c r="E142" s="4"/>
      <c r="F142" s="4"/>
      <c r="G142" s="4"/>
      <c r="H142" s="4"/>
      <c r="I142" s="4"/>
      <c r="J142" s="4"/>
      <c r="K142" s="4"/>
      <c r="L142" s="4"/>
      <c r="M142" s="4"/>
      <c r="N142" s="4"/>
      <c r="O142" s="4"/>
      <c r="P142" s="4"/>
      <c r="Q142" s="4"/>
    </row>
    <row r="143" ht="13.5" customHeight="1">
      <c r="A143" s="4"/>
      <c r="B143" s="4"/>
      <c r="C143" s="4"/>
      <c r="D143" s="4"/>
      <c r="E143" s="4"/>
      <c r="F143" s="4"/>
      <c r="G143" s="4"/>
      <c r="H143" s="4"/>
      <c r="I143" s="4"/>
      <c r="J143" s="4"/>
      <c r="K143" s="4"/>
      <c r="L143" s="4"/>
      <c r="M143" s="4"/>
      <c r="N143" s="4"/>
      <c r="O143" s="4"/>
      <c r="P143" s="4"/>
      <c r="Q143" s="4"/>
    </row>
    <row r="144" ht="13.5" customHeight="1">
      <c r="A144" s="4"/>
      <c r="B144" s="4"/>
      <c r="C144" s="4"/>
      <c r="D144" s="4"/>
      <c r="E144" s="4"/>
      <c r="F144" s="4"/>
      <c r="G144" s="4"/>
      <c r="H144" s="4"/>
      <c r="I144" s="4"/>
      <c r="J144" s="4"/>
      <c r="K144" s="4"/>
      <c r="L144" s="4"/>
      <c r="M144" s="4"/>
      <c r="N144" s="4"/>
      <c r="O144" s="4"/>
      <c r="P144" s="4"/>
      <c r="Q144" s="4"/>
    </row>
    <row r="145" ht="13.5" customHeight="1">
      <c r="A145" s="4"/>
      <c r="B145" s="4"/>
      <c r="C145" s="4"/>
      <c r="D145" s="4"/>
      <c r="E145" s="4"/>
      <c r="F145" s="4"/>
      <c r="G145" s="4"/>
      <c r="H145" s="4"/>
      <c r="I145" s="4"/>
      <c r="J145" s="4"/>
      <c r="K145" s="4"/>
      <c r="L145" s="4"/>
      <c r="M145" s="4"/>
      <c r="N145" s="4"/>
      <c r="O145" s="4"/>
      <c r="P145" s="4"/>
      <c r="Q145" s="4"/>
    </row>
    <row r="146" ht="13.5" customHeight="1">
      <c r="A146" s="4"/>
      <c r="B146" s="4"/>
      <c r="C146" s="4"/>
      <c r="D146" s="4"/>
      <c r="E146" s="4"/>
      <c r="F146" s="4"/>
      <c r="G146" s="4"/>
      <c r="H146" s="4"/>
      <c r="I146" s="4"/>
      <c r="J146" s="4"/>
      <c r="K146" s="4"/>
      <c r="L146" s="4"/>
      <c r="M146" s="4"/>
      <c r="N146" s="4"/>
      <c r="O146" s="4"/>
      <c r="P146" s="4"/>
      <c r="Q146" s="4"/>
    </row>
    <row r="147" ht="13.5" customHeight="1">
      <c r="A147" s="4"/>
      <c r="B147" s="4"/>
      <c r="C147" s="4"/>
      <c r="D147" s="4"/>
      <c r="E147" s="4"/>
      <c r="F147" s="4"/>
      <c r="G147" s="4"/>
      <c r="H147" s="4"/>
      <c r="I147" s="4"/>
      <c r="J147" s="4"/>
      <c r="K147" s="4"/>
      <c r="L147" s="4"/>
      <c r="M147" s="4"/>
      <c r="N147" s="4"/>
      <c r="O147" s="4"/>
      <c r="P147" s="4"/>
      <c r="Q147" s="4"/>
    </row>
    <row r="148" ht="13.5" customHeight="1">
      <c r="A148" s="4"/>
      <c r="B148" s="4"/>
      <c r="C148" s="4"/>
      <c r="D148" s="4"/>
      <c r="E148" s="4"/>
      <c r="F148" s="4"/>
      <c r="G148" s="4"/>
      <c r="H148" s="4"/>
      <c r="I148" s="4"/>
      <c r="J148" s="4"/>
      <c r="K148" s="4"/>
      <c r="L148" s="4"/>
      <c r="M148" s="4"/>
      <c r="N148" s="4"/>
      <c r="O148" s="4"/>
      <c r="P148" s="4"/>
      <c r="Q148" s="4"/>
    </row>
    <row r="149" ht="13.5" customHeight="1">
      <c r="A149" s="4"/>
      <c r="B149" s="4"/>
      <c r="C149" s="4"/>
      <c r="D149" s="4"/>
      <c r="E149" s="4"/>
      <c r="F149" s="4"/>
      <c r="G149" s="4"/>
      <c r="H149" s="4"/>
      <c r="I149" s="4"/>
      <c r="J149" s="4"/>
      <c r="K149" s="4"/>
      <c r="L149" s="4"/>
      <c r="M149" s="4"/>
      <c r="N149" s="4"/>
      <c r="O149" s="4"/>
      <c r="P149" s="4"/>
      <c r="Q149" s="4"/>
    </row>
    <row r="150" ht="13.5" customHeight="1">
      <c r="A150" s="4"/>
      <c r="B150" s="4"/>
      <c r="C150" s="4"/>
      <c r="D150" s="4"/>
      <c r="E150" s="4"/>
      <c r="F150" s="4"/>
      <c r="G150" s="4"/>
      <c r="H150" s="4"/>
      <c r="I150" s="4"/>
      <c r="J150" s="4"/>
      <c r="K150" s="4"/>
      <c r="L150" s="4"/>
      <c r="M150" s="4"/>
      <c r="N150" s="4"/>
      <c r="O150" s="4"/>
      <c r="P150" s="4"/>
      <c r="Q150" s="4"/>
    </row>
    <row r="151" ht="13.5" customHeight="1">
      <c r="A151" s="4"/>
      <c r="B151" s="4"/>
      <c r="C151" s="4"/>
      <c r="D151" s="4"/>
      <c r="E151" s="4"/>
      <c r="F151" s="4"/>
      <c r="G151" s="4"/>
      <c r="H151" s="4"/>
      <c r="I151" s="4"/>
      <c r="J151" s="4"/>
      <c r="K151" s="4"/>
      <c r="L151" s="4"/>
      <c r="M151" s="4"/>
      <c r="N151" s="4"/>
      <c r="O151" s="4"/>
      <c r="P151" s="4"/>
      <c r="Q151" s="4"/>
    </row>
    <row r="152" ht="13.5" customHeight="1">
      <c r="A152" s="4"/>
      <c r="B152" s="4"/>
      <c r="C152" s="4"/>
      <c r="D152" s="4"/>
      <c r="E152" s="4"/>
      <c r="F152" s="4"/>
      <c r="G152" s="4"/>
      <c r="H152" s="4"/>
      <c r="I152" s="4"/>
      <c r="J152" s="4"/>
      <c r="K152" s="4"/>
      <c r="L152" s="4"/>
      <c r="M152" s="4"/>
      <c r="N152" s="4"/>
      <c r="O152" s="4"/>
      <c r="P152" s="4"/>
      <c r="Q152" s="4"/>
    </row>
    <row r="153" ht="13.5" customHeight="1">
      <c r="A153" s="4"/>
      <c r="B153" s="4"/>
      <c r="C153" s="4"/>
      <c r="D153" s="4"/>
      <c r="E153" s="4"/>
      <c r="F153" s="4"/>
      <c r="G153" s="4"/>
      <c r="H153" s="4"/>
      <c r="I153" s="4"/>
      <c r="J153" s="4"/>
      <c r="K153" s="4"/>
      <c r="L153" s="4"/>
      <c r="M153" s="4"/>
      <c r="N153" s="4"/>
      <c r="O153" s="4"/>
      <c r="P153" s="4"/>
      <c r="Q153" s="4"/>
    </row>
    <row r="154" ht="13.5" customHeight="1">
      <c r="A154" s="4"/>
      <c r="B154" s="4"/>
      <c r="C154" s="4"/>
      <c r="D154" s="4"/>
      <c r="E154" s="4"/>
      <c r="F154" s="4"/>
      <c r="G154" s="4"/>
      <c r="H154" s="4"/>
      <c r="I154" s="4"/>
      <c r="J154" s="4"/>
      <c r="K154" s="4"/>
      <c r="L154" s="4"/>
      <c r="M154" s="4"/>
      <c r="N154" s="4"/>
      <c r="O154" s="4"/>
      <c r="P154" s="4"/>
      <c r="Q154" s="4"/>
    </row>
    <row r="155" ht="13.5" customHeight="1">
      <c r="A155" s="4"/>
      <c r="B155" s="4"/>
      <c r="C155" s="4"/>
      <c r="D155" s="4"/>
      <c r="E155" s="4"/>
      <c r="F155" s="4"/>
      <c r="G155" s="4"/>
      <c r="H155" s="4"/>
      <c r="I155" s="4"/>
      <c r="J155" s="4"/>
      <c r="K155" s="4"/>
      <c r="L155" s="4"/>
      <c r="M155" s="4"/>
      <c r="N155" s="4"/>
      <c r="O155" s="4"/>
      <c r="P155" s="4"/>
      <c r="Q155" s="4"/>
    </row>
    <row r="156" ht="13.5" customHeight="1">
      <c r="A156" s="4"/>
      <c r="B156" s="4"/>
      <c r="C156" s="4"/>
      <c r="D156" s="4"/>
      <c r="E156" s="4"/>
      <c r="F156" s="4"/>
      <c r="G156" s="4"/>
      <c r="H156" s="4"/>
      <c r="I156" s="4"/>
      <c r="J156" s="4"/>
      <c r="K156" s="4"/>
      <c r="L156" s="4"/>
      <c r="M156" s="4"/>
      <c r="N156" s="4"/>
      <c r="O156" s="4"/>
      <c r="P156" s="4"/>
      <c r="Q156" s="4"/>
    </row>
    <row r="157" ht="13.5" customHeight="1">
      <c r="A157" s="4"/>
      <c r="B157" s="4"/>
      <c r="C157" s="4"/>
      <c r="D157" s="4"/>
      <c r="E157" s="4"/>
      <c r="F157" s="4"/>
      <c r="G157" s="4"/>
      <c r="H157" s="4"/>
      <c r="I157" s="4"/>
      <c r="J157" s="4"/>
      <c r="K157" s="4"/>
      <c r="L157" s="4"/>
      <c r="M157" s="4"/>
      <c r="N157" s="4"/>
      <c r="O157" s="4"/>
      <c r="P157" s="4"/>
      <c r="Q157" s="4"/>
    </row>
    <row r="158" ht="13.5" customHeight="1">
      <c r="A158" s="4"/>
      <c r="B158" s="4"/>
      <c r="C158" s="4"/>
      <c r="D158" s="4"/>
      <c r="E158" s="4"/>
      <c r="F158" s="4"/>
      <c r="G158" s="4"/>
      <c r="H158" s="4"/>
      <c r="I158" s="4"/>
      <c r="J158" s="4"/>
      <c r="K158" s="4"/>
      <c r="L158" s="4"/>
      <c r="M158" s="4"/>
      <c r="N158" s="4"/>
      <c r="O158" s="4"/>
      <c r="P158" s="4"/>
      <c r="Q158" s="4"/>
    </row>
    <row r="159" ht="13.5" customHeight="1">
      <c r="A159" s="4"/>
      <c r="B159" s="4"/>
      <c r="C159" s="4"/>
      <c r="D159" s="4"/>
      <c r="E159" s="4"/>
      <c r="F159" s="4"/>
      <c r="G159" s="4"/>
      <c r="H159" s="4"/>
      <c r="I159" s="4"/>
      <c r="J159" s="4"/>
      <c r="K159" s="4"/>
      <c r="L159" s="4"/>
      <c r="M159" s="4"/>
      <c r="N159" s="4"/>
      <c r="O159" s="4"/>
      <c r="P159" s="4"/>
      <c r="Q159" s="4"/>
    </row>
    <row r="160" ht="13.5" customHeight="1">
      <c r="A160" s="4"/>
      <c r="B160" s="4"/>
      <c r="C160" s="4"/>
      <c r="D160" s="4"/>
      <c r="E160" s="4"/>
      <c r="F160" s="4"/>
      <c r="G160" s="4"/>
      <c r="H160" s="4"/>
      <c r="I160" s="4"/>
      <c r="J160" s="4"/>
      <c r="K160" s="4"/>
      <c r="L160" s="4"/>
      <c r="M160" s="4"/>
      <c r="N160" s="4"/>
      <c r="O160" s="4"/>
      <c r="P160" s="4"/>
      <c r="Q160" s="4"/>
    </row>
    <row r="161" ht="13.5" customHeight="1">
      <c r="A161" s="4"/>
      <c r="B161" s="4"/>
      <c r="C161" s="4"/>
      <c r="D161" s="4"/>
      <c r="E161" s="4"/>
      <c r="F161" s="4"/>
      <c r="G161" s="4"/>
      <c r="H161" s="4"/>
      <c r="I161" s="4"/>
      <c r="J161" s="4"/>
      <c r="K161" s="4"/>
      <c r="L161" s="4"/>
      <c r="M161" s="4"/>
      <c r="N161" s="4"/>
      <c r="O161" s="4"/>
      <c r="P161" s="4"/>
      <c r="Q161" s="4"/>
    </row>
    <row r="162" ht="13.5" customHeight="1">
      <c r="A162" s="4"/>
      <c r="B162" s="4"/>
      <c r="C162" s="4"/>
      <c r="D162" s="4"/>
      <c r="E162" s="4"/>
      <c r="F162" s="4"/>
      <c r="G162" s="4"/>
      <c r="H162" s="4"/>
      <c r="I162" s="4"/>
      <c r="J162" s="4"/>
      <c r="K162" s="4"/>
      <c r="L162" s="4"/>
      <c r="M162" s="4"/>
      <c r="N162" s="4"/>
      <c r="O162" s="4"/>
      <c r="P162" s="4"/>
      <c r="Q162" s="4"/>
    </row>
    <row r="163" ht="13.5" customHeight="1">
      <c r="A163" s="4"/>
      <c r="B163" s="4"/>
      <c r="C163" s="4"/>
      <c r="D163" s="4"/>
      <c r="E163" s="4"/>
      <c r="F163" s="4"/>
      <c r="G163" s="4"/>
      <c r="H163" s="4"/>
      <c r="I163" s="4"/>
      <c r="J163" s="4"/>
      <c r="K163" s="4"/>
      <c r="L163" s="4"/>
      <c r="M163" s="4"/>
      <c r="N163" s="4"/>
      <c r="O163" s="4"/>
      <c r="P163" s="4"/>
      <c r="Q163" s="4"/>
    </row>
    <row r="164" ht="13.5" customHeight="1">
      <c r="A164" s="4"/>
      <c r="B164" s="4"/>
      <c r="C164" s="4"/>
      <c r="D164" s="4"/>
      <c r="E164" s="4"/>
      <c r="F164" s="4"/>
      <c r="G164" s="4"/>
      <c r="H164" s="4"/>
      <c r="I164" s="4"/>
      <c r="J164" s="4"/>
      <c r="K164" s="4"/>
      <c r="L164" s="4"/>
      <c r="M164" s="4"/>
      <c r="N164" s="4"/>
      <c r="O164" s="4"/>
      <c r="P164" s="4"/>
      <c r="Q164" s="4"/>
    </row>
    <row r="165" ht="13.5" customHeight="1">
      <c r="A165" s="4"/>
      <c r="B165" s="4"/>
      <c r="C165" s="4"/>
      <c r="D165" s="4"/>
      <c r="E165" s="4"/>
      <c r="F165" s="4"/>
      <c r="G165" s="4"/>
      <c r="H165" s="4"/>
      <c r="I165" s="4"/>
      <c r="J165" s="4"/>
      <c r="K165" s="4"/>
      <c r="L165" s="4"/>
      <c r="M165" s="4"/>
      <c r="N165" s="4"/>
      <c r="O165" s="4"/>
      <c r="P165" s="4"/>
      <c r="Q165" s="4"/>
    </row>
    <row r="166" ht="13.5" customHeight="1">
      <c r="A166" s="4"/>
      <c r="B166" s="4"/>
      <c r="C166" s="4"/>
      <c r="D166" s="4"/>
      <c r="E166" s="4"/>
      <c r="F166" s="4"/>
      <c r="G166" s="4"/>
      <c r="H166" s="4"/>
      <c r="I166" s="4"/>
      <c r="J166" s="4"/>
      <c r="K166" s="4"/>
      <c r="L166" s="4"/>
      <c r="M166" s="4"/>
      <c r="N166" s="4"/>
      <c r="O166" s="4"/>
      <c r="P166" s="4"/>
      <c r="Q166" s="4"/>
    </row>
    <row r="167" ht="13.5" customHeight="1">
      <c r="A167" s="4"/>
      <c r="B167" s="4"/>
      <c r="C167" s="4"/>
      <c r="D167" s="4"/>
      <c r="E167" s="4"/>
      <c r="F167" s="4"/>
      <c r="G167" s="4"/>
      <c r="H167" s="4"/>
      <c r="I167" s="4"/>
      <c r="J167" s="4"/>
      <c r="K167" s="4"/>
      <c r="L167" s="4"/>
      <c r="M167" s="4"/>
      <c r="N167" s="4"/>
      <c r="O167" s="4"/>
      <c r="P167" s="4"/>
      <c r="Q167" s="4"/>
    </row>
    <row r="168" ht="13.5" customHeight="1">
      <c r="A168" s="4"/>
      <c r="B168" s="4"/>
      <c r="C168" s="4"/>
      <c r="D168" s="4"/>
      <c r="E168" s="4"/>
      <c r="F168" s="4"/>
      <c r="G168" s="4"/>
      <c r="H168" s="4"/>
      <c r="I168" s="4"/>
      <c r="J168" s="4"/>
      <c r="K168" s="4"/>
      <c r="L168" s="4"/>
      <c r="M168" s="4"/>
      <c r="N168" s="4"/>
      <c r="O168" s="4"/>
      <c r="P168" s="4"/>
      <c r="Q168" s="4"/>
    </row>
    <row r="169" ht="13.5" customHeight="1">
      <c r="A169" s="4"/>
      <c r="B169" s="4"/>
      <c r="C169" s="4"/>
      <c r="D169" s="4"/>
      <c r="E169" s="4"/>
      <c r="F169" s="4"/>
      <c r="G169" s="4"/>
      <c r="H169" s="4"/>
      <c r="I169" s="4"/>
      <c r="J169" s="4"/>
      <c r="K169" s="4"/>
      <c r="L169" s="4"/>
      <c r="M169" s="4"/>
      <c r="N169" s="4"/>
      <c r="O169" s="4"/>
      <c r="P169" s="4"/>
      <c r="Q169" s="4"/>
    </row>
    <row r="170" ht="13.5" customHeight="1">
      <c r="A170" s="4"/>
      <c r="B170" s="4"/>
      <c r="C170" s="4"/>
      <c r="D170" s="4"/>
      <c r="E170" s="4"/>
      <c r="F170" s="4"/>
      <c r="G170" s="4"/>
      <c r="H170" s="4"/>
      <c r="I170" s="4"/>
      <c r="J170" s="4"/>
      <c r="K170" s="4"/>
      <c r="L170" s="4"/>
      <c r="M170" s="4"/>
      <c r="N170" s="4"/>
      <c r="O170" s="4"/>
      <c r="P170" s="4"/>
      <c r="Q170" s="4"/>
    </row>
    <row r="171" ht="13.5" customHeight="1">
      <c r="A171" s="4"/>
      <c r="B171" s="4"/>
      <c r="C171" s="4"/>
      <c r="D171" s="4"/>
      <c r="E171" s="4"/>
      <c r="F171" s="4"/>
      <c r="G171" s="4"/>
      <c r="H171" s="4"/>
      <c r="I171" s="4"/>
      <c r="J171" s="4"/>
      <c r="K171" s="4"/>
      <c r="L171" s="4"/>
      <c r="M171" s="4"/>
      <c r="N171" s="4"/>
      <c r="O171" s="4"/>
      <c r="P171" s="4"/>
      <c r="Q171" s="4"/>
    </row>
    <row r="172" ht="13.5" customHeight="1">
      <c r="A172" s="4"/>
      <c r="B172" s="4"/>
      <c r="C172" s="4"/>
      <c r="D172" s="4"/>
      <c r="E172" s="4"/>
      <c r="F172" s="4"/>
      <c r="G172" s="4"/>
      <c r="H172" s="4"/>
      <c r="I172" s="4"/>
      <c r="J172" s="4"/>
      <c r="K172" s="4"/>
      <c r="L172" s="4"/>
      <c r="M172" s="4"/>
      <c r="N172" s="4"/>
      <c r="O172" s="4"/>
      <c r="P172" s="4"/>
      <c r="Q172" s="4"/>
    </row>
    <row r="173" ht="13.5" customHeight="1">
      <c r="A173" s="4"/>
      <c r="B173" s="4"/>
      <c r="C173" s="4"/>
      <c r="D173" s="4"/>
      <c r="E173" s="4"/>
      <c r="F173" s="4"/>
      <c r="G173" s="4"/>
      <c r="H173" s="4"/>
      <c r="I173" s="4"/>
      <c r="J173" s="4"/>
      <c r="K173" s="4"/>
      <c r="L173" s="4"/>
      <c r="M173" s="4"/>
      <c r="N173" s="4"/>
      <c r="O173" s="4"/>
      <c r="P173" s="4"/>
      <c r="Q173" s="4"/>
    </row>
    <row r="174" ht="13.5" customHeight="1">
      <c r="A174" s="4"/>
      <c r="B174" s="4"/>
      <c r="C174" s="4"/>
      <c r="D174" s="4"/>
      <c r="E174" s="4"/>
      <c r="F174" s="4"/>
      <c r="G174" s="4"/>
      <c r="H174" s="4"/>
      <c r="I174" s="4"/>
      <c r="J174" s="4"/>
      <c r="K174" s="4"/>
      <c r="L174" s="4"/>
      <c r="M174" s="4"/>
      <c r="N174" s="4"/>
      <c r="O174" s="4"/>
      <c r="P174" s="4"/>
      <c r="Q174" s="4"/>
    </row>
    <row r="175" ht="13.5" customHeight="1">
      <c r="A175" s="4"/>
      <c r="B175" s="4"/>
      <c r="C175" s="4"/>
      <c r="D175" s="4"/>
      <c r="E175" s="4"/>
      <c r="F175" s="4"/>
      <c r="G175" s="4"/>
      <c r="H175" s="4"/>
      <c r="I175" s="4"/>
      <c r="J175" s="4"/>
      <c r="K175" s="4"/>
      <c r="L175" s="4"/>
      <c r="M175" s="4"/>
      <c r="N175" s="4"/>
      <c r="O175" s="4"/>
      <c r="P175" s="4"/>
      <c r="Q175" s="4"/>
    </row>
    <row r="176" ht="13.5" customHeight="1">
      <c r="A176" s="4"/>
      <c r="B176" s="4"/>
      <c r="C176" s="4"/>
      <c r="D176" s="4"/>
      <c r="E176" s="4"/>
      <c r="F176" s="4"/>
      <c r="G176" s="4"/>
      <c r="H176" s="4"/>
      <c r="I176" s="4"/>
      <c r="J176" s="4"/>
      <c r="K176" s="4"/>
      <c r="L176" s="4"/>
      <c r="M176" s="4"/>
      <c r="N176" s="4"/>
      <c r="O176" s="4"/>
      <c r="P176" s="4"/>
      <c r="Q176" s="4"/>
    </row>
    <row r="177" ht="13.5" customHeight="1">
      <c r="A177" s="4"/>
      <c r="B177" s="4"/>
      <c r="C177" s="4"/>
      <c r="D177" s="4"/>
      <c r="E177" s="4"/>
      <c r="F177" s="4"/>
      <c r="G177" s="4"/>
      <c r="H177" s="4"/>
      <c r="I177" s="4"/>
      <c r="J177" s="4"/>
      <c r="K177" s="4"/>
      <c r="L177" s="4"/>
      <c r="M177" s="4"/>
      <c r="N177" s="4"/>
      <c r="O177" s="4"/>
      <c r="P177" s="4"/>
      <c r="Q177" s="4"/>
    </row>
    <row r="178" ht="13.5" customHeight="1">
      <c r="A178" s="4"/>
      <c r="B178" s="4"/>
      <c r="C178" s="4"/>
      <c r="D178" s="4"/>
      <c r="E178" s="4"/>
      <c r="F178" s="4"/>
      <c r="G178" s="4"/>
      <c r="H178" s="4"/>
      <c r="I178" s="4"/>
      <c r="J178" s="4"/>
      <c r="K178" s="4"/>
      <c r="L178" s="4"/>
      <c r="M178" s="4"/>
      <c r="N178" s="4"/>
      <c r="O178" s="4"/>
      <c r="P178" s="4"/>
      <c r="Q178" s="4"/>
    </row>
    <row r="179" ht="13.5" customHeight="1">
      <c r="A179" s="4"/>
      <c r="B179" s="4"/>
      <c r="C179" s="4"/>
      <c r="D179" s="4"/>
      <c r="E179" s="4"/>
      <c r="F179" s="4"/>
      <c r="G179" s="4"/>
      <c r="H179" s="4"/>
      <c r="I179" s="4"/>
      <c r="J179" s="4"/>
      <c r="K179" s="4"/>
      <c r="L179" s="4"/>
      <c r="M179" s="4"/>
      <c r="N179" s="4"/>
      <c r="O179" s="4"/>
      <c r="P179" s="4"/>
      <c r="Q179" s="4"/>
    </row>
    <row r="180" ht="13.5" customHeight="1">
      <c r="A180" s="4"/>
      <c r="B180" s="4"/>
      <c r="C180" s="4"/>
      <c r="D180" s="4"/>
      <c r="E180" s="4"/>
      <c r="F180" s="4"/>
      <c r="G180" s="4"/>
      <c r="H180" s="4"/>
      <c r="I180" s="4"/>
      <c r="J180" s="4"/>
      <c r="K180" s="4"/>
      <c r="L180" s="4"/>
      <c r="M180" s="4"/>
      <c r="N180" s="4"/>
      <c r="O180" s="4"/>
      <c r="P180" s="4"/>
      <c r="Q180" s="4"/>
    </row>
    <row r="181" ht="13.5" customHeight="1">
      <c r="A181" s="4"/>
      <c r="B181" s="4"/>
      <c r="C181" s="4"/>
      <c r="D181" s="4"/>
      <c r="E181" s="4"/>
      <c r="F181" s="4"/>
      <c r="G181" s="4"/>
      <c r="H181" s="4"/>
      <c r="I181" s="4"/>
      <c r="J181" s="4"/>
      <c r="K181" s="4"/>
      <c r="L181" s="4"/>
      <c r="M181" s="4"/>
      <c r="N181" s="4"/>
      <c r="O181" s="4"/>
      <c r="P181" s="4"/>
      <c r="Q181" s="4"/>
    </row>
    <row r="182" ht="13.5" customHeight="1">
      <c r="A182" s="4"/>
      <c r="B182" s="4"/>
      <c r="C182" s="4"/>
      <c r="D182" s="4"/>
      <c r="E182" s="4"/>
      <c r="F182" s="4"/>
      <c r="G182" s="4"/>
      <c r="H182" s="4"/>
      <c r="I182" s="4"/>
      <c r="J182" s="4"/>
      <c r="K182" s="4"/>
      <c r="L182" s="4"/>
      <c r="M182" s="4"/>
      <c r="N182" s="4"/>
      <c r="O182" s="4"/>
      <c r="P182" s="4"/>
      <c r="Q182" s="4"/>
    </row>
    <row r="183" ht="13.5" customHeight="1">
      <c r="A183" s="4"/>
      <c r="B183" s="4"/>
      <c r="C183" s="4"/>
      <c r="D183" s="4"/>
      <c r="E183" s="4"/>
      <c r="F183" s="4"/>
      <c r="G183" s="4"/>
      <c r="H183" s="4"/>
      <c r="I183" s="4"/>
      <c r="J183" s="4"/>
      <c r="K183" s="4"/>
      <c r="L183" s="4"/>
      <c r="M183" s="4"/>
      <c r="N183" s="4"/>
      <c r="O183" s="4"/>
      <c r="P183" s="4"/>
      <c r="Q183" s="4"/>
    </row>
    <row r="184" ht="13.5" customHeight="1">
      <c r="A184" s="4"/>
      <c r="B184" s="4"/>
      <c r="C184" s="4"/>
      <c r="D184" s="4"/>
      <c r="E184" s="4"/>
      <c r="F184" s="4"/>
      <c r="G184" s="4"/>
      <c r="H184" s="4"/>
      <c r="I184" s="4"/>
      <c r="J184" s="4"/>
      <c r="K184" s="4"/>
      <c r="L184" s="4"/>
      <c r="M184" s="4"/>
      <c r="N184" s="4"/>
      <c r="O184" s="4"/>
      <c r="P184" s="4"/>
      <c r="Q184" s="4"/>
    </row>
    <row r="185" ht="13.5" customHeight="1">
      <c r="A185" s="4"/>
      <c r="B185" s="4"/>
      <c r="C185" s="4"/>
      <c r="D185" s="4"/>
      <c r="E185" s="4"/>
      <c r="F185" s="4"/>
      <c r="G185" s="4"/>
      <c r="H185" s="4"/>
      <c r="I185" s="4"/>
      <c r="J185" s="4"/>
      <c r="K185" s="4"/>
      <c r="L185" s="4"/>
      <c r="M185" s="4"/>
      <c r="N185" s="4"/>
      <c r="O185" s="4"/>
      <c r="P185" s="4"/>
      <c r="Q185" s="4"/>
    </row>
    <row r="186" ht="13.5" customHeight="1">
      <c r="A186" s="4"/>
      <c r="B186" s="4"/>
      <c r="C186" s="4"/>
      <c r="D186" s="4"/>
      <c r="E186" s="4"/>
      <c r="F186" s="4"/>
      <c r="G186" s="4"/>
      <c r="H186" s="4"/>
      <c r="I186" s="4"/>
      <c r="J186" s="4"/>
      <c r="K186" s="4"/>
      <c r="L186" s="4"/>
      <c r="M186" s="4"/>
      <c r="N186" s="4"/>
      <c r="O186" s="4"/>
      <c r="P186" s="4"/>
      <c r="Q186" s="4"/>
    </row>
    <row r="187" ht="13.5" customHeight="1">
      <c r="A187" s="4"/>
      <c r="B187" s="4"/>
      <c r="C187" s="4"/>
      <c r="D187" s="4"/>
      <c r="E187" s="4"/>
      <c r="F187" s="4"/>
      <c r="G187" s="4"/>
      <c r="H187" s="4"/>
      <c r="I187" s="4"/>
      <c r="J187" s="4"/>
      <c r="K187" s="4"/>
      <c r="L187" s="4"/>
      <c r="M187" s="4"/>
      <c r="N187" s="4"/>
      <c r="O187" s="4"/>
      <c r="P187" s="4"/>
      <c r="Q187" s="4"/>
    </row>
    <row r="188" ht="13.5" customHeight="1">
      <c r="A188" s="4"/>
      <c r="B188" s="4"/>
      <c r="C188" s="4"/>
      <c r="D188" s="4"/>
      <c r="E188" s="4"/>
      <c r="F188" s="4"/>
      <c r="G188" s="4"/>
      <c r="H188" s="4"/>
      <c r="I188" s="4"/>
      <c r="J188" s="4"/>
      <c r="K188" s="4"/>
      <c r="L188" s="4"/>
      <c r="M188" s="4"/>
      <c r="N188" s="4"/>
      <c r="O188" s="4"/>
      <c r="P188" s="4"/>
      <c r="Q188" s="4"/>
    </row>
    <row r="189" ht="13.5" customHeight="1">
      <c r="A189" s="4"/>
      <c r="B189" s="4"/>
      <c r="C189" s="4"/>
      <c r="D189" s="4"/>
      <c r="E189" s="4"/>
      <c r="F189" s="4"/>
      <c r="G189" s="4"/>
      <c r="H189" s="4"/>
      <c r="I189" s="4"/>
      <c r="J189" s="4"/>
      <c r="K189" s="4"/>
      <c r="L189" s="4"/>
      <c r="M189" s="4"/>
      <c r="N189" s="4"/>
      <c r="O189" s="4"/>
      <c r="P189" s="4"/>
      <c r="Q189" s="4"/>
    </row>
    <row r="190" ht="13.5" customHeight="1">
      <c r="A190" s="4"/>
      <c r="B190" s="4"/>
      <c r="C190" s="4"/>
      <c r="D190" s="4"/>
      <c r="E190" s="4"/>
      <c r="F190" s="4"/>
      <c r="G190" s="4"/>
      <c r="H190" s="4"/>
      <c r="I190" s="4"/>
      <c r="J190" s="4"/>
      <c r="K190" s="4"/>
      <c r="L190" s="4"/>
      <c r="M190" s="4"/>
      <c r="N190" s="4"/>
      <c r="O190" s="4"/>
      <c r="P190" s="4"/>
      <c r="Q190" s="4"/>
    </row>
    <row r="191" ht="13.5" customHeight="1">
      <c r="A191" s="4"/>
      <c r="B191" s="4"/>
      <c r="C191" s="4"/>
      <c r="D191" s="4"/>
      <c r="E191" s="4"/>
      <c r="F191" s="4"/>
      <c r="G191" s="4"/>
      <c r="H191" s="4"/>
      <c r="I191" s="4"/>
      <c r="J191" s="4"/>
      <c r="K191" s="4"/>
      <c r="L191" s="4"/>
      <c r="M191" s="4"/>
      <c r="N191" s="4"/>
      <c r="O191" s="4"/>
      <c r="P191" s="4"/>
      <c r="Q191" s="4"/>
    </row>
    <row r="192" ht="13.5" customHeight="1">
      <c r="A192" s="4"/>
      <c r="B192" s="4"/>
      <c r="C192" s="4"/>
      <c r="D192" s="4"/>
      <c r="E192" s="4"/>
      <c r="F192" s="4"/>
      <c r="G192" s="4"/>
      <c r="H192" s="4"/>
      <c r="I192" s="4"/>
      <c r="J192" s="4"/>
      <c r="K192" s="4"/>
      <c r="L192" s="4"/>
      <c r="M192" s="4"/>
      <c r="N192" s="4"/>
      <c r="O192" s="4"/>
      <c r="P192" s="4"/>
      <c r="Q192" s="4"/>
    </row>
    <row r="193" ht="13.5" customHeight="1">
      <c r="A193" s="4"/>
      <c r="B193" s="4"/>
      <c r="C193" s="4"/>
      <c r="D193" s="4"/>
      <c r="E193" s="4"/>
      <c r="F193" s="4"/>
      <c r="G193" s="4"/>
      <c r="H193" s="4"/>
      <c r="I193" s="4"/>
      <c r="J193" s="4"/>
      <c r="K193" s="4"/>
      <c r="L193" s="4"/>
      <c r="M193" s="4"/>
      <c r="N193" s="4"/>
      <c r="O193" s="4"/>
      <c r="P193" s="4"/>
      <c r="Q193" s="4"/>
    </row>
    <row r="194" ht="13.5" customHeight="1">
      <c r="A194" s="4"/>
      <c r="B194" s="4"/>
      <c r="C194" s="4"/>
      <c r="D194" s="4"/>
      <c r="E194" s="4"/>
      <c r="F194" s="4"/>
      <c r="G194" s="4"/>
      <c r="H194" s="4"/>
      <c r="I194" s="4"/>
      <c r="J194" s="4"/>
      <c r="K194" s="4"/>
      <c r="L194" s="4"/>
      <c r="M194" s="4"/>
      <c r="N194" s="4"/>
      <c r="O194" s="4"/>
      <c r="P194" s="4"/>
      <c r="Q194" s="4"/>
    </row>
    <row r="195" ht="13.5" customHeight="1">
      <c r="A195" s="4"/>
      <c r="B195" s="4"/>
      <c r="C195" s="4"/>
      <c r="D195" s="4"/>
      <c r="E195" s="4"/>
      <c r="F195" s="4"/>
      <c r="G195" s="4"/>
      <c r="H195" s="4"/>
      <c r="I195" s="4"/>
      <c r="J195" s="4"/>
      <c r="K195" s="4"/>
      <c r="L195" s="4"/>
      <c r="M195" s="4"/>
      <c r="N195" s="4"/>
      <c r="O195" s="4"/>
      <c r="P195" s="4"/>
      <c r="Q195" s="4"/>
    </row>
    <row r="196" ht="13.5" customHeight="1">
      <c r="A196" s="4"/>
      <c r="B196" s="4"/>
      <c r="C196" s="4"/>
      <c r="D196" s="4"/>
      <c r="E196" s="4"/>
      <c r="F196" s="4"/>
      <c r="G196" s="4"/>
      <c r="H196" s="4"/>
      <c r="I196" s="4"/>
      <c r="J196" s="4"/>
      <c r="K196" s="4"/>
      <c r="L196" s="4"/>
      <c r="M196" s="4"/>
      <c r="N196" s="4"/>
      <c r="O196" s="4"/>
      <c r="P196" s="4"/>
      <c r="Q196" s="4"/>
    </row>
    <row r="197" ht="13.5" customHeight="1">
      <c r="A197" s="4"/>
      <c r="B197" s="4"/>
      <c r="C197" s="4"/>
      <c r="D197" s="4"/>
      <c r="E197" s="4"/>
      <c r="F197" s="4"/>
      <c r="G197" s="4"/>
      <c r="H197" s="4"/>
      <c r="I197" s="4"/>
      <c r="J197" s="4"/>
      <c r="K197" s="4"/>
      <c r="L197" s="4"/>
      <c r="M197" s="4"/>
      <c r="N197" s="4"/>
      <c r="O197" s="4"/>
      <c r="P197" s="4"/>
      <c r="Q197" s="4"/>
    </row>
    <row r="198" ht="13.5" customHeight="1">
      <c r="A198" s="4"/>
      <c r="B198" s="4"/>
      <c r="C198" s="4"/>
      <c r="D198" s="4"/>
      <c r="E198" s="4"/>
      <c r="F198" s="4"/>
      <c r="G198" s="4"/>
      <c r="H198" s="4"/>
      <c r="I198" s="4"/>
      <c r="J198" s="4"/>
      <c r="K198" s="4"/>
      <c r="L198" s="4"/>
      <c r="M198" s="4"/>
      <c r="N198" s="4"/>
      <c r="O198" s="4"/>
      <c r="P198" s="4"/>
      <c r="Q198" s="4"/>
    </row>
    <row r="199" ht="13.5" customHeight="1">
      <c r="A199" s="4"/>
      <c r="B199" s="4"/>
      <c r="C199" s="4"/>
      <c r="D199" s="4"/>
      <c r="E199" s="4"/>
      <c r="F199" s="4"/>
      <c r="G199" s="4"/>
      <c r="H199" s="4"/>
      <c r="I199" s="4"/>
      <c r="J199" s="4"/>
      <c r="K199" s="4"/>
      <c r="L199" s="4"/>
      <c r="M199" s="4"/>
      <c r="N199" s="4"/>
      <c r="O199" s="4"/>
      <c r="P199" s="4"/>
      <c r="Q199" s="4"/>
    </row>
    <row r="200" ht="13.5" customHeight="1">
      <c r="A200" s="4"/>
      <c r="B200" s="4"/>
      <c r="C200" s="4"/>
      <c r="D200" s="4"/>
      <c r="E200" s="4"/>
      <c r="F200" s="4"/>
      <c r="G200" s="4"/>
      <c r="H200" s="4"/>
      <c r="I200" s="4"/>
      <c r="J200" s="4"/>
      <c r="K200" s="4"/>
      <c r="L200" s="4"/>
      <c r="M200" s="4"/>
      <c r="N200" s="4"/>
      <c r="O200" s="4"/>
      <c r="P200" s="4"/>
      <c r="Q200" s="4"/>
    </row>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7">
    <mergeCell ref="A1:M1"/>
    <mergeCell ref="A3:M3"/>
    <mergeCell ref="A12:M12"/>
    <mergeCell ref="A13:C13"/>
    <mergeCell ref="D13:F13"/>
    <mergeCell ref="A14:C16"/>
    <mergeCell ref="D14:F16"/>
    <mergeCell ref="C25:G25"/>
    <mergeCell ref="C26:G26"/>
    <mergeCell ref="A28:G29"/>
    <mergeCell ref="C18:G18"/>
    <mergeCell ref="C19:G19"/>
    <mergeCell ref="C20:G20"/>
    <mergeCell ref="C21:G21"/>
    <mergeCell ref="C22:G22"/>
    <mergeCell ref="C23:G23"/>
    <mergeCell ref="C24:G24"/>
  </mergeCells>
  <conditionalFormatting sqref="M6:M9">
    <cfRule type="expression" dxfId="0" priority="1">
      <formula>M6&lt;&gt;""</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2026-07-12T08:21:45Z</dcterms:created>
  <dc:creator>surface</dc:creator>
</cp:coreProperties>
</file>